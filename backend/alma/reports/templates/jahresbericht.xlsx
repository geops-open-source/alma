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2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C:\Users\ulimu\Downloads\"/>
    </mc:Choice>
  </mc:AlternateContent>
  <xr:revisionPtr revIDLastSave="0" documentId="8_{64BBDE40-5981-4DAB-8D91-2787DCAE0202}" xr6:coauthVersionLast="47" xr6:coauthVersionMax="47" xr10:uidLastSave="{00000000-0000-0000-0000-000000000000}"/>
  <bookViews>
    <workbookView xWindow="-110" yWindow="-110" windowWidth="19420" windowHeight="11500" firstSheet="14" activeTab="2" xr2:uid="{59A3B3D7-A615-4764-85E1-17D80A868332}"/>
  </bookViews>
  <sheets>
    <sheet name="Vollzugszuständigkeit" sheetId="12" r:id="rId1"/>
    <sheet name="Beurteilung" sheetId="9" r:id="rId2"/>
    <sheet name="Beurteilung Belastet" sheetId="21" r:id="rId3"/>
    <sheet name="Beurteilung gruppiert" sheetId="14" r:id="rId4"/>
    <sheet name="Stand der Auswertung" sheetId="20" r:id="rId5"/>
    <sheet name="Bearbeitungsstand" sheetId="10" r:id="rId6"/>
    <sheet name="Untersuchungsstand" sheetId="11" r:id="rId7"/>
    <sheet name="Standort-Rohdaten" sheetId="5" r:id="rId8"/>
    <sheet name="Geöffnete Geschäfte" sheetId="16" r:id="rId9"/>
    <sheet name="Abgeschlossene Geschäfte" sheetId="15" r:id="rId10"/>
    <sheet name="Balken Abgeschlossene Geschäfte" sheetId="22" r:id="rId11"/>
    <sheet name="Geschäft-Rohdaten" sheetId="13" r:id="rId12"/>
    <sheet name="Jahrestrends Handlungsbedarf" sheetId="23" r:id="rId13"/>
    <sheet name="Jahrestrends Bearbeitungsbedarf" sheetId="24" r:id="rId14"/>
    <sheet name="Jahrestrends-Rohdaten" sheetId="18" r:id="rId15"/>
    <sheet name="Stichtag-Rohdaten" sheetId="17" r:id="rId16"/>
  </sheets>
  <calcPr calcId="191028"/>
  <pivotCaches>
    <pivotCache cacheId="125" r:id="rId17"/>
    <pivotCache cacheId="129" r:id="rId18"/>
    <pivotCache cacheId="135" r:id="rId19"/>
    <pivotCache cacheId="144" r:id="rId20"/>
    <pivotCache cacheId="149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22" l="1"/>
  <c r="B1" i="22"/>
  <c r="B1" i="21"/>
  <c r="B1" i="20"/>
  <c r="D1" i="15"/>
  <c r="B1" i="15"/>
  <c r="D1" i="16"/>
  <c r="B1" i="16"/>
  <c r="B1" i="11"/>
  <c r="B1" i="10"/>
  <c r="B1" i="14"/>
  <c r="B1" i="9"/>
  <c r="B1" i="12"/>
</calcChain>
</file>

<file path=xl/sharedStrings.xml><?xml version="1.0" encoding="utf-8"?>
<sst xmlns="http://schemas.openxmlformats.org/spreadsheetml/2006/main" count="893" uniqueCount="177">
  <si>
    <t>Stichtag:</t>
  </si>
  <si>
    <t>Vollzugszuständigkeit</t>
  </si>
  <si>
    <t>Anzahl</t>
  </si>
  <si>
    <t>demo</t>
  </si>
  <si>
    <t>zh</t>
  </si>
  <si>
    <t>(blank)</t>
  </si>
  <si>
    <t>Grand Total</t>
  </si>
  <si>
    <t>(All)</t>
  </si>
  <si>
    <t>Standorttyp</t>
  </si>
  <si>
    <t xml:space="preserve"> </t>
  </si>
  <si>
    <t>Ablagerungsstandort</t>
  </si>
  <si>
    <t>Betriebsstandort</t>
  </si>
  <si>
    <t>Unfallstandort</t>
  </si>
  <si>
    <t>Total Anzahl</t>
  </si>
  <si>
    <t>Total Anteil</t>
  </si>
  <si>
    <t>Beurteilung</t>
  </si>
  <si>
    <t>Anteil</t>
  </si>
  <si>
    <t>Belastet, keine schädlichen oder lästigen Einwirkungen zu erwarten</t>
  </si>
  <si>
    <t>Belastet, weder überwachungs- noch sanierungsbedürftig</t>
  </si>
  <si>
    <t>unbelastet</t>
  </si>
  <si>
    <t>Belastet, untersuchungsbedürftig</t>
  </si>
  <si>
    <t>Belastet, Untersuchungsbedürftigkeit noch nicht definiert</t>
  </si>
  <si>
    <t>nicht beurteilt: Vollzug nicht BAV</t>
  </si>
  <si>
    <t>Belastet, sanierungsbedürftig</t>
  </si>
  <si>
    <t>Belastet, überwachungsbedürftig</t>
  </si>
  <si>
    <t>Datensatz gelöscht</t>
  </si>
  <si>
    <t>Informationen ungenügend</t>
  </si>
  <si>
    <t>Total</t>
  </si>
  <si>
    <t>Gruppe</t>
  </si>
  <si>
    <t>Belastet - ohne Handlungsbedarf</t>
  </si>
  <si>
    <t>Belastet - ohne Handlungsbedarf Total</t>
  </si>
  <si>
    <t>Unbelastet</t>
  </si>
  <si>
    <t>Unbelastet Total</t>
  </si>
  <si>
    <t>(blank) Total</t>
  </si>
  <si>
    <t>Belastet - mit Handlungsbedarf</t>
  </si>
  <si>
    <t>Belastet - mit Handlungsbedarf Total</t>
  </si>
  <si>
    <t>Beurteilung ausstehend / Information ungenügend</t>
  </si>
  <si>
    <t>Beurteilung ausstehend / Information ungenügend Total</t>
  </si>
  <si>
    <t>Sonstige</t>
  </si>
  <si>
    <t>Sonstige Total</t>
  </si>
  <si>
    <t>Count of Gruppe</t>
  </si>
  <si>
    <t>Bearbeitungsstand</t>
  </si>
  <si>
    <t>Definitiver Katastereintrag rechtskräftig</t>
  </si>
  <si>
    <t>Löschung aus Kataster rechtskräftig</t>
  </si>
  <si>
    <t>Nachführung Kataster rechtskräftig</t>
  </si>
  <si>
    <t>Nachführung: Beurteilung BAV in Bearbeitung</t>
  </si>
  <si>
    <t>Beurteilung BAV abgeschlossen</t>
  </si>
  <si>
    <t>Inhaberorientierung abgeschlossen</t>
  </si>
  <si>
    <t>Löschung: Beurteilung BAV in Bearbeitung</t>
  </si>
  <si>
    <t>Inhaberorientierung läuft</t>
  </si>
  <si>
    <t>Untersuchungsstand</t>
  </si>
  <si>
    <t>Historische Untersuchung abgeschlossen</t>
  </si>
  <si>
    <t>keine Untersuchung</t>
  </si>
  <si>
    <t>Technische Untersuchung abgeschlossen</t>
  </si>
  <si>
    <t>keine Untersuchung nach AltlV</t>
  </si>
  <si>
    <t>Technische Untersuchung in Bearbeitung</t>
  </si>
  <si>
    <t>Sanierung abgeschlossen</t>
  </si>
  <si>
    <t>vflz_id</t>
  </si>
  <si>
    <t>vflz_combined_id_kt</t>
  </si>
  <si>
    <t>c_org_kuerzel</t>
  </si>
  <si>
    <t>c_bere_res_abwbewe</t>
  </si>
  <si>
    <t>bere_res_abwbewe</t>
  </si>
  <si>
    <t>c_bewe_gruppe</t>
  </si>
  <si>
    <t>bewe_gruppe</t>
  </si>
  <si>
    <t>c_vflz_bearbstand</t>
  </si>
  <si>
    <t>vflz_bearbstand</t>
  </si>
  <si>
    <t>c_vflz_unterstand</t>
  </si>
  <si>
    <t>vflz_unterstand</t>
  </si>
  <si>
    <t>c_vflz_vftyp</t>
  </si>
  <si>
    <t>vflz_vftyp</t>
  </si>
  <si>
    <t>A003</t>
  </si>
  <si>
    <t>BAV_110</t>
  </si>
  <si>
    <t>A004</t>
  </si>
  <si>
    <t>U005</t>
  </si>
  <si>
    <t>U501</t>
  </si>
  <si>
    <t>U906</t>
  </si>
  <si>
    <t>U641</t>
  </si>
  <si>
    <t>B106</t>
  </si>
  <si>
    <t>BAV81</t>
  </si>
  <si>
    <t>BAV_120</t>
  </si>
  <si>
    <t>B062</t>
  </si>
  <si>
    <t>B106.01</t>
  </si>
  <si>
    <t>BAV71</t>
  </si>
  <si>
    <t>B003</t>
  </si>
  <si>
    <t>A132</t>
  </si>
  <si>
    <t>U041.01</t>
  </si>
  <si>
    <t>Überwachung abgeschlossen</t>
  </si>
  <si>
    <t>U418</t>
  </si>
  <si>
    <t>A402</t>
  </si>
  <si>
    <t>BAV_100</t>
  </si>
  <si>
    <t>B416</t>
  </si>
  <si>
    <t>BAV_107</t>
  </si>
  <si>
    <t>B140</t>
  </si>
  <si>
    <t>A156</t>
  </si>
  <si>
    <t>BAV60</t>
  </si>
  <si>
    <t>sonstige</t>
  </si>
  <si>
    <t>BAV_112</t>
  </si>
  <si>
    <t>A136</t>
  </si>
  <si>
    <t>U003</t>
  </si>
  <si>
    <t>B002</t>
  </si>
  <si>
    <t>B193.02</t>
  </si>
  <si>
    <t>B193</t>
  </si>
  <si>
    <t>B178</t>
  </si>
  <si>
    <t>B077</t>
  </si>
  <si>
    <t>BAV70</t>
  </si>
  <si>
    <t>B210</t>
  </si>
  <si>
    <t>B073</t>
  </si>
  <si>
    <t>BAV_105</t>
  </si>
  <si>
    <t>U400</t>
  </si>
  <si>
    <t>U069</t>
  </si>
  <si>
    <t>U168</t>
  </si>
  <si>
    <t>U125</t>
  </si>
  <si>
    <t>U149</t>
  </si>
  <si>
    <t>U179</t>
  </si>
  <si>
    <t>U077</t>
  </si>
  <si>
    <t>U154</t>
  </si>
  <si>
    <t>U220</t>
  </si>
  <si>
    <t>B001</t>
  </si>
  <si>
    <t>U187</t>
  </si>
  <si>
    <t>BAV94</t>
  </si>
  <si>
    <t>A107</t>
  </si>
  <si>
    <t>BAV91</t>
  </si>
  <si>
    <t>BAV_121</t>
  </si>
  <si>
    <t>U041</t>
  </si>
  <si>
    <t>B106.02</t>
  </si>
  <si>
    <t>BAV_111</t>
  </si>
  <si>
    <t>Zeitraum:</t>
  </si>
  <si>
    <t>bis</t>
  </si>
  <si>
    <t>Status</t>
  </si>
  <si>
    <t>started</t>
  </si>
  <si>
    <t>Geschäft</t>
  </si>
  <si>
    <t>Aufgabe</t>
  </si>
  <si>
    <t>Anzahl von Standort</t>
  </si>
  <si>
    <t>PGV (Bauverfahren) vereinfacht</t>
  </si>
  <si>
    <t>PGV mit Auflagen</t>
  </si>
  <si>
    <t>PGV (Bauverfahren) vereinfacht Total</t>
  </si>
  <si>
    <t>Erstbeurteilung</t>
  </si>
  <si>
    <t>Kataster:Ersteintrag rechtskräftig</t>
  </si>
  <si>
    <t>Erstbeurteilung Total</t>
  </si>
  <si>
    <t>Mutation Löschung</t>
  </si>
  <si>
    <t>Kataster:Löschung rechtskräftig</t>
  </si>
  <si>
    <t>Mutation Löschung Total</t>
  </si>
  <si>
    <t>Mutation Nachführung</t>
  </si>
  <si>
    <t>Kataster:Nachführung rechtskräftig</t>
  </si>
  <si>
    <t>Mutation Nachführung Total</t>
  </si>
  <si>
    <t>Voruntersuchung</t>
  </si>
  <si>
    <t>Voruntersuchung: Abschluss</t>
  </si>
  <si>
    <t>Voruntersuchung Total</t>
  </si>
  <si>
    <t>Überwachung</t>
  </si>
  <si>
    <t>Überwachung Total</t>
  </si>
  <si>
    <t>Sanierung</t>
  </si>
  <si>
    <t>Sanierung Ende</t>
  </si>
  <si>
    <t>Sanierung Total</t>
  </si>
  <si>
    <t>Bewilligung Art. 32d bis</t>
  </si>
  <si>
    <t>Entscheid rechtskräftig</t>
  </si>
  <si>
    <t>Bewilligung Art. 32d bis Total</t>
  </si>
  <si>
    <t>Auskunft</t>
  </si>
  <si>
    <t>Kataster: Auskunft</t>
  </si>
  <si>
    <t>Auskunft Total</t>
  </si>
  <si>
    <t>finished</t>
  </si>
  <si>
    <t>Sachbearbeitung</t>
  </si>
  <si>
    <t>Martin Demo</t>
  </si>
  <si>
    <t>Tanja Demo</t>
  </si>
  <si>
    <t>Standort</t>
  </si>
  <si>
    <t>Datum</t>
  </si>
  <si>
    <t>Timo Demo</t>
  </si>
  <si>
    <t>Bearbeitungsbedarf</t>
  </si>
  <si>
    <t>Standortkategorien</t>
  </si>
  <si>
    <t>jahr</t>
  </si>
  <si>
    <t>Belastet mit Handlungsbedarf</t>
  </si>
  <si>
    <t>Belastet, ohne Handlungsbedarf</t>
  </si>
  <si>
    <t>Beurteilung ausstehend</t>
  </si>
  <si>
    <t>id</t>
  </si>
  <si>
    <t>anzahl</t>
  </si>
  <si>
    <t>kategorie</t>
  </si>
  <si>
    <t>Stichtag</t>
  </si>
  <si>
    <t>Zeitraum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</si>
</sst>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  <font>
      <sz val="11"/>
      <color rgb="FF000000"/>
      <name val="Aptos Narrow"/>
      <family val="2"/>
    </font>
    <font>
      <sz val="10"/>
      <color rgb="FF000000"/>
      <name val="Aptos Narrow"/>
      <charset val="1"/>
    </font>
    <font>
      <sz val="10"/>
      <color theme="1"/>
      <name val="Aptos Narrow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pivotButton="1"/>
    <xf numFmtId="10" fontId="0" fillId="0" borderId="0" xfId="0" applyNumberFormat="1"/>
    <xf numFmtId="0" fontId="1" fillId="0" borderId="0" xfId="0" pivotButton="1" applyFont="1"/>
    <xf numFmtId="0" fontId="1" fillId="0" borderId="0" xfId="0" applyFont="1"/>
    <xf numFmtId="14" fontId="0" fillId="0" borderId="0" xfId="0" applyNumberFormat="1"/>
    <xf numFmtId="14" fontId="1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14" fontId="3" fillId="0" borderId="0" xfId="0" applyNumberFormat="1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0" borderId="0" xfId="0" applyNumberFormat="1"/>
  </cellXfs>
  <cellStyles count="1">
    <cellStyle name="Normal" xfId="0" builtinId="0"/>
  </cellStyles>
  <dxfs count="2">
    <dxf>
      <font>
        <b/>
      </font>
    </dxf>
    <dxf>
      <font>
        <b/>
      </font>
    </dxf>
  </dxfs>
  <tableStyles count="0" defaultTableStyle="TableStyleMedium2" defaultPivotStyle="PivotStyleLight16"/>
  <colors>
    <mruColors>
      <color rgb="FFAEAEAE"/>
      <color rgb="FFFD7F80"/>
      <color rgb="FFFFB180"/>
      <color rgb="FF7FB3FF"/>
      <color rgb="FFFEE580"/>
      <color rgb="FFFEF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[jahresbericht.xlsx]Beurteilung Belastet!Beurteilung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Belastete Standorte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ln w="25400">
            <a:noFill/>
          </a:ln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separator>;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EFF7F"/>
          </a:solidFill>
          <a:ln w="25400">
            <a:noFill/>
          </a:ln>
          <a:effectLst/>
        </c:spPr>
      </c:pivotFmt>
      <c:pivotFmt>
        <c:idx val="3"/>
        <c:spPr>
          <a:solidFill>
            <a:srgbClr val="FEE580"/>
          </a:solidFill>
          <a:ln w="25400">
            <a:noFill/>
          </a:ln>
          <a:effectLst/>
        </c:spPr>
      </c:pivotFmt>
      <c:pivotFmt>
        <c:idx val="4"/>
        <c:spPr>
          <a:solidFill>
            <a:srgbClr val="7FB3FF"/>
          </a:solidFill>
          <a:ln w="25400">
            <a:noFill/>
          </a:ln>
          <a:effectLst/>
        </c:spPr>
      </c:pivotFmt>
      <c:pivotFmt>
        <c:idx val="5"/>
        <c:spPr>
          <a:solidFill>
            <a:srgbClr val="AEAEAE"/>
          </a:solidFill>
          <a:ln w="25400">
            <a:noFill/>
          </a:ln>
          <a:effectLst/>
        </c:spPr>
      </c:pivotFmt>
      <c:pivotFmt>
        <c:idx val="6"/>
        <c:spPr>
          <a:solidFill>
            <a:srgbClr val="FD7F80"/>
          </a:solidFill>
          <a:ln w="25400">
            <a:noFill/>
          </a:ln>
          <a:effectLst/>
        </c:spPr>
      </c:pivotFmt>
      <c:pivotFmt>
        <c:idx val="7"/>
        <c:spPr>
          <a:solidFill>
            <a:srgbClr val="FFB180"/>
          </a:solidFill>
          <a:ln w="25400">
            <a:noFill/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'Beurteilung Belastet'!$B$5</c:f>
              <c:strCache>
                <c:ptCount val="1"/>
                <c:pt idx="0">
                  <c:v>Anzahl</c:v>
                </c:pt>
              </c:strCache>
            </c:strRef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FEFF7F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3BE-4360-BEEA-3B696093E51E}"/>
              </c:ext>
            </c:extLst>
          </c:dPt>
          <c:dPt>
            <c:idx val="1"/>
            <c:bubble3D val="0"/>
            <c:spPr>
              <a:solidFill>
                <a:srgbClr val="FEE58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3BE-4360-BEEA-3B696093E51E}"/>
              </c:ext>
            </c:extLst>
          </c:dPt>
          <c:dPt>
            <c:idx val="2"/>
            <c:bubble3D val="0"/>
            <c:spPr>
              <a:solidFill>
                <a:srgbClr val="7FB3FF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3BE-4360-BEEA-3B696093E51E}"/>
              </c:ext>
            </c:extLst>
          </c:dPt>
          <c:dPt>
            <c:idx val="3"/>
            <c:bubble3D val="0"/>
            <c:spPr>
              <a:solidFill>
                <a:srgbClr val="AEAEAE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3BE-4360-BEEA-3B696093E51E}"/>
              </c:ext>
            </c:extLst>
          </c:dPt>
          <c:dPt>
            <c:idx val="4"/>
            <c:bubble3D val="0"/>
            <c:spPr>
              <a:solidFill>
                <a:srgbClr val="FD7F8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3BE-4360-BEEA-3B696093E51E}"/>
              </c:ext>
            </c:extLst>
          </c:dPt>
          <c:dPt>
            <c:idx val="5"/>
            <c:bubble3D val="0"/>
            <c:spPr>
              <a:solidFill>
                <a:srgbClr val="FFB18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3BE-4360-BEEA-3B696093E5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'Beurteilung Belastet'!$A$6:$A$12</c:f>
              <c:strCache>
                <c:ptCount val="6"/>
                <c:pt idx="0">
                  <c:v>Belastet, keine schädlichen oder lästigen Einwirkungen zu erwarten</c:v>
                </c:pt>
                <c:pt idx="1">
                  <c:v>Belastet, weder überwachungs- noch sanierungsbedürftig</c:v>
                </c:pt>
                <c:pt idx="2">
                  <c:v>Belastet, untersuchungsbedürftig</c:v>
                </c:pt>
                <c:pt idx="3">
                  <c:v>Belastet, Untersuchungsbedürftigkeit noch nicht definiert</c:v>
                </c:pt>
                <c:pt idx="4">
                  <c:v>Belastet, sanierungsbedürftig</c:v>
                </c:pt>
                <c:pt idx="5">
                  <c:v>Belastet, überwachungsbedürftig</c:v>
                </c:pt>
              </c:strCache>
            </c:strRef>
          </c:cat>
          <c:val>
            <c:numRef>
              <c:f>'Beurteilung Belastet'!$B$6:$B$12</c:f>
              <c:numCache>
                <c:formatCode>General</c:formatCode>
                <c:ptCount val="6"/>
                <c:pt idx="0">
                  <c:v>6</c:v>
                </c:pt>
                <c:pt idx="1">
                  <c:v>9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BE-4360-BEEA-3B696093E51E}"/>
            </c:ext>
          </c:extLst>
        </c:ser>
        <c:ser>
          <c:idx val="1"/>
          <c:order val="1"/>
          <c:tx>
            <c:strRef>
              <c:f>'Beurteilung Belastet'!$C$5</c:f>
              <c:strCache>
                <c:ptCount val="1"/>
                <c:pt idx="0">
                  <c:v>Anteil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4B5-4F85-B0FF-F0353663E2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4B5-4F85-B0FF-F0353663E2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4B5-4F85-B0FF-F0353663E2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4B5-4F85-B0FF-F0353663E2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4B5-4F85-B0FF-F0353663E2F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4B5-4F85-B0FF-F0353663E2F8}"/>
              </c:ext>
            </c:extLst>
          </c:dPt>
          <c:cat>
            <c:strRef>
              <c:f>'Beurteilung Belastet'!$A$6:$A$12</c:f>
              <c:strCache>
                <c:ptCount val="6"/>
                <c:pt idx="0">
                  <c:v>Belastet, keine schädlichen oder lästigen Einwirkungen zu erwarten</c:v>
                </c:pt>
                <c:pt idx="1">
                  <c:v>Belastet, weder überwachungs- noch sanierungsbedürftig</c:v>
                </c:pt>
                <c:pt idx="2">
                  <c:v>Belastet, untersuchungsbedürftig</c:v>
                </c:pt>
                <c:pt idx="3">
                  <c:v>Belastet, Untersuchungsbedürftigkeit noch nicht definiert</c:v>
                </c:pt>
                <c:pt idx="4">
                  <c:v>Belastet, sanierungsbedürftig</c:v>
                </c:pt>
                <c:pt idx="5">
                  <c:v>Belastet, überwachungsbedürftig</c:v>
                </c:pt>
              </c:strCache>
            </c:strRef>
          </c:cat>
          <c:val>
            <c:numRef>
              <c:f>'Beurteilung Belastet'!$C$6:$C$12</c:f>
              <c:numCache>
                <c:formatCode>0.00%</c:formatCode>
                <c:ptCount val="6"/>
                <c:pt idx="0">
                  <c:v>0.24</c:v>
                </c:pt>
                <c:pt idx="1">
                  <c:v>0.36</c:v>
                </c:pt>
                <c:pt idx="2">
                  <c:v>0.12</c:v>
                </c:pt>
                <c:pt idx="3">
                  <c:v>0.04</c:v>
                </c:pt>
                <c:pt idx="4">
                  <c:v>0.04</c:v>
                </c:pt>
                <c:pt idx="5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BE-4360-BEEA-3B696093E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[jahresbericht.xlsx]Stand der Auswertung!PivotTable1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Stand der Auswertung der Standorte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C000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80808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: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DADAD"/>
          </a:solidFill>
          <a:ln w="25400">
            <a:noFill/>
          </a:ln>
          <a:effectLst/>
        </c:spPr>
      </c:pivotFmt>
      <c:pivotFmt>
        <c:idx val="2"/>
        <c:spPr>
          <a:solidFill>
            <a:srgbClr val="FFC000"/>
          </a:solidFill>
          <a:ln w="25400">
            <a:noFill/>
          </a:ln>
          <a:effectLst/>
        </c:spPr>
      </c:pivotFmt>
      <c:pivotFmt>
        <c:idx val="3"/>
        <c:spPr>
          <a:solidFill>
            <a:srgbClr val="4EA72E"/>
          </a:solidFill>
          <a:ln w="25400">
            <a:noFill/>
          </a:ln>
          <a:effectLst/>
        </c:spPr>
      </c:pivotFmt>
      <c:pivotFmt>
        <c:idx val="4"/>
        <c:spPr>
          <a:solidFill>
            <a:srgbClr val="FFC000"/>
          </a:solidFill>
          <a:ln w="25400">
            <a:noFill/>
          </a:ln>
          <a:effectLst/>
        </c:spPr>
      </c:pivotFmt>
      <c:pivotFmt>
        <c:idx val="5"/>
        <c:spPr>
          <a:solidFill>
            <a:srgbClr val="FFC000"/>
          </a:solidFill>
          <a:ln w="25400">
            <a:noFill/>
          </a:ln>
          <a:effectLst/>
        </c:spPr>
      </c:pivotFmt>
      <c:pivotFmt>
        <c:idx val="6"/>
        <c:spPr>
          <a:solidFill>
            <a:srgbClr val="ADADAD"/>
          </a:solidFill>
          <a:ln w="25400"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'Stand der Auswertung'!$B$5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 w="25400">
              <a:noFill/>
            </a:ln>
          </c:spPr>
          <c:dPt>
            <c:idx val="0"/>
            <c:bubble3D val="0"/>
            <c:spPr>
              <a:solidFill>
                <a:srgbClr val="FFC0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6E-421F-8A13-B58D376A0D6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9A6-4406-A4B0-969455F41A02}"/>
              </c:ext>
            </c:extLst>
          </c:dPt>
          <c:dPt>
            <c:idx val="2"/>
            <c:bubble3D val="0"/>
            <c:spPr>
              <a:solidFill>
                <a:srgbClr val="ADADAD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6E-421F-8A13-B58D376A0D68}"/>
              </c:ext>
            </c:extLst>
          </c:dPt>
          <c:dPt>
            <c:idx val="3"/>
            <c:bubble3D val="0"/>
            <c:spPr>
              <a:solidFill>
                <a:srgbClr val="ADADAD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9A6-4406-A4B0-969455F41A02}"/>
              </c:ext>
            </c:extLst>
          </c:dPt>
          <c:dPt>
            <c:idx val="4"/>
            <c:bubble3D val="0"/>
            <c:spPr>
              <a:solidFill>
                <a:srgbClr val="4EA72E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A6-4406-A4B0-969455F41A02}"/>
              </c:ext>
            </c:extLst>
          </c:dPt>
          <c:dPt>
            <c:idx val="5"/>
            <c:bubble3D val="0"/>
            <c:spPr>
              <a:solidFill>
                <a:srgbClr val="FFC000"/>
              </a:solidFill>
              <a:ln w="2540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489-4DA7-892D-8756977E0588}"/>
              </c:ext>
            </c:extLst>
          </c:dPt>
          <c:dLbls>
            <c:spPr>
              <a:noFill/>
              <a:ln>
                <a:solidFill>
                  <a:srgbClr val="80808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: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'Stand der Auswertung'!$A$6:$A$12</c:f>
              <c:strCache>
                <c:ptCount val="6"/>
                <c:pt idx="0">
                  <c:v>Belastet - mit Handlungsbedarf</c:v>
                </c:pt>
                <c:pt idx="1">
                  <c:v>Belastet - ohne Handlungsbedarf</c:v>
                </c:pt>
                <c:pt idx="2">
                  <c:v>Beurteilung ausstehend / Information ungenügend</c:v>
                </c:pt>
                <c:pt idx="3">
                  <c:v>Sonstige</c:v>
                </c:pt>
                <c:pt idx="4">
                  <c:v>Unbelastet</c:v>
                </c:pt>
                <c:pt idx="5">
                  <c:v>(blank)</c:v>
                </c:pt>
              </c:strCache>
            </c:strRef>
          </c:cat>
          <c:val>
            <c:numRef>
              <c:f>'Stand der Auswertung'!$B$6:$B$12</c:f>
              <c:numCache>
                <c:formatCode>General</c:formatCode>
                <c:ptCount val="6"/>
                <c:pt idx="0">
                  <c:v>10</c:v>
                </c:pt>
                <c:pt idx="1">
                  <c:v>15</c:v>
                </c:pt>
                <c:pt idx="2">
                  <c:v>3</c:v>
                </c:pt>
                <c:pt idx="3">
                  <c:v>3</c:v>
                </c:pt>
                <c:pt idx="4">
                  <c:v>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6-4406-A4B0-969455F41A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[jahresbericht.xlsx]Balken Abgeschlossene Geschäfte!PivotTable1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Balkendiagramm Abgeschlossene Geschäfte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'Balken Abgeschlossene Geschäfte'!$B$5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'Balken Abgeschlossene Geschäfte'!$A$6:$A$13</c:f>
              <c:strCache>
                <c:ptCount val="7"/>
                <c:pt idx="0">
                  <c:v>PGV mit Auflagen</c:v>
                </c:pt>
                <c:pt idx="1">
                  <c:v>Kataster:Ersteintrag rechtskräftig</c:v>
                </c:pt>
                <c:pt idx="2">
                  <c:v>Kataster:Löschung rechtskräftig</c:v>
                </c:pt>
                <c:pt idx="3">
                  <c:v>Kataster:Nachführung rechtskräftig</c:v>
                </c:pt>
                <c:pt idx="4">
                  <c:v>Voruntersuchung: Abschluss</c:v>
                </c:pt>
                <c:pt idx="5">
                  <c:v>Überwachung abgeschlossen</c:v>
                </c:pt>
                <c:pt idx="6">
                  <c:v>Kataster: Auskunft</c:v>
                </c:pt>
              </c:strCache>
            </c:strRef>
          </c:cat>
          <c:val>
            <c:numRef>
              <c:f>'Balken Abgeschlossene Geschäfte'!$B$6:$B$13</c:f>
              <c:numCache>
                <c:formatCode>General</c:formatCode>
                <c:ptCount val="7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EC-4002-A1E2-39EDA7300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82830343"/>
        <c:axId val="1756013576"/>
      </c:barChart>
      <c:catAx>
        <c:axId val="2082830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6013576"/>
        <c:crosses val="autoZero"/>
        <c:auto val="1"/>
        <c:lblAlgn val="ctr"/>
        <c:lblOffset val="100"/>
        <c:noMultiLvlLbl val="0"/>
      </c:catAx>
      <c:valAx>
        <c:axId val="1756013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082830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[jahresbericht.xlsx]Jahrestrends Handlungsbedarf!PivotTable1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Anzahl belasteter Standorte mit/ohne Massnahmen nach AltlV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/>
              <a:ea typeface="Arial"/>
              <a:cs typeface="Arial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D86DC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215C9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rgbClr val="FFFFFF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'Jahrestrends Handlungsbedarf'!$B$1:$B$2</c:f>
              <c:strCache>
                <c:ptCount val="1"/>
                <c:pt idx="0">
                  <c:v>Belastet mit Handlungsbedarf</c:v>
                </c:pt>
              </c:strCache>
            </c:strRef>
          </c:tx>
          <c:spPr>
            <a:solidFill>
              <a:srgbClr val="D86DC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'Jahrestrends Handlungsbedarf'!$A$3:$A$16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'Jahrestrends Handlungsbedarf'!$B$3:$B$16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D-4648-AF40-F902229123A7}"/>
            </c:ext>
          </c:extLst>
        </c:ser>
        <c:ser>
          <c:idx val="1"/>
          <c:order val="1"/>
          <c:tx>
            <c:strRef>
              <c:f>'Jahrestrends Handlungsbedarf'!$C$1:$C$2</c:f>
              <c:strCache>
                <c:ptCount val="1"/>
                <c:pt idx="0">
                  <c:v>Belastet, ohne Handlungsbedarf</c:v>
                </c:pt>
              </c:strCache>
            </c:strRef>
          </c:tx>
          <c:spPr>
            <a:solidFill>
              <a:srgbClr val="215C9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FFFF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'Jahrestrends Handlungsbedarf'!$A$3:$A$16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'Jahrestrends Handlungsbedarf'!$C$3:$C$16</c:f>
              <c:numCache>
                <c:formatCode>General</c:formatCode>
                <c:ptCount val="13"/>
                <c:pt idx="0">
                  <c:v>9</c:v>
                </c:pt>
                <c:pt idx="1">
                  <c:v>11</c:v>
                </c:pt>
                <c:pt idx="2">
                  <c:v>12</c:v>
                </c:pt>
                <c:pt idx="3">
                  <c:v>14</c:v>
                </c:pt>
                <c:pt idx="4">
                  <c:v>16</c:v>
                </c:pt>
                <c:pt idx="5">
                  <c:v>20</c:v>
                </c:pt>
                <c:pt idx="6">
                  <c:v>22</c:v>
                </c:pt>
                <c:pt idx="7">
                  <c:v>30</c:v>
                </c:pt>
                <c:pt idx="8">
                  <c:v>43</c:v>
                </c:pt>
                <c:pt idx="9">
                  <c:v>44</c:v>
                </c:pt>
                <c:pt idx="10">
                  <c:v>44</c:v>
                </c:pt>
                <c:pt idx="11">
                  <c:v>44</c:v>
                </c:pt>
                <c:pt idx="12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BD-4648-AF40-F90222912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2078080519"/>
        <c:axId val="81692168"/>
      </c:barChart>
      <c:catAx>
        <c:axId val="2078080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92168"/>
        <c:crosses val="autoZero"/>
        <c:auto val="1"/>
        <c:lblAlgn val="ctr"/>
        <c:lblOffset val="100"/>
        <c:noMultiLvlLbl val="0"/>
      </c:catAx>
      <c:valAx>
        <c:axId val="81692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80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[jahresbericht.xlsx]Jahrestrends Bearbeitungsbedarf!PivotTable1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Verteilung der Standortskategorien mit Bearbeitungsbedarf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D7F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B18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FB3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AEAEA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FB3FF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'Jahrestrends Bearbeitungsbedarf'!$B$1:$B$2</c:f>
              <c:strCache>
                <c:ptCount val="1"/>
                <c:pt idx="0">
                  <c:v>Belastet, sanierungsbedürftig</c:v>
                </c:pt>
              </c:strCache>
            </c:strRef>
          </c:tx>
          <c:spPr>
            <a:solidFill>
              <a:srgbClr val="FD7F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'Jahrestrends Bearbeitungsbedarf'!$A$3:$A$16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'Jahrestrends Bearbeitungsbedarf'!$B$3:$B$16</c:f>
              <c:numCache>
                <c:formatCode>General</c:formatCode>
                <c:ptCount val="13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9-4B8C-AAF7-3A2B61D78674}"/>
            </c:ext>
          </c:extLst>
        </c:ser>
        <c:ser>
          <c:idx val="1"/>
          <c:order val="1"/>
          <c:tx>
            <c:strRef>
              <c:f>'Jahrestrends Bearbeitungsbedarf'!$C$1:$C$2</c:f>
              <c:strCache>
                <c:ptCount val="1"/>
                <c:pt idx="0">
                  <c:v>Belastet, überwachungsbedürftig</c:v>
                </c:pt>
              </c:strCache>
            </c:strRef>
          </c:tx>
          <c:spPr>
            <a:solidFill>
              <a:srgbClr val="FFB18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'Jahrestrends Bearbeitungsbedarf'!$A$3:$A$16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'Jahrestrends Bearbeitungsbedarf'!$C$3:$C$16</c:f>
              <c:numCache>
                <c:formatCode>General</c:formatCode>
                <c:ptCount val="13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18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09-4B8C-AAF7-3A2B61D78674}"/>
            </c:ext>
          </c:extLst>
        </c:ser>
        <c:ser>
          <c:idx val="2"/>
          <c:order val="2"/>
          <c:tx>
            <c:strRef>
              <c:f>'Jahrestrends Bearbeitungsbedarf'!$D$1:$D$2</c:f>
              <c:strCache>
                <c:ptCount val="1"/>
                <c:pt idx="0">
                  <c:v>Belastet, untersuchungsbedürftig</c:v>
                </c:pt>
              </c:strCache>
            </c:strRef>
          </c:tx>
          <c:spPr>
            <a:solidFill>
              <a:srgbClr val="7FB3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'Jahrestrends Bearbeitungsbedarf'!$A$3:$A$16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'Jahrestrends Bearbeitungsbedarf'!$D$3:$D$16</c:f>
              <c:numCache>
                <c:formatCode>General</c:formatCode>
                <c:ptCount val="13"/>
                <c:pt idx="0">
                  <c:v>110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105</c:v>
                </c:pt>
                <c:pt idx="5">
                  <c:v>103</c:v>
                </c:pt>
                <c:pt idx="6">
                  <c:v>102</c:v>
                </c:pt>
                <c:pt idx="7">
                  <c:v>100</c:v>
                </c:pt>
                <c:pt idx="8">
                  <c:v>98</c:v>
                </c:pt>
                <c:pt idx="9">
                  <c:v>97</c:v>
                </c:pt>
                <c:pt idx="10">
                  <c:v>97</c:v>
                </c:pt>
                <c:pt idx="11">
                  <c:v>95</c:v>
                </c:pt>
                <c:pt idx="1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09-4B8C-AAF7-3A2B61D78674}"/>
            </c:ext>
          </c:extLst>
        </c:ser>
        <c:ser>
          <c:idx val="3"/>
          <c:order val="3"/>
          <c:tx>
            <c:strRef>
              <c:f>'Jahrestrends Bearbeitungsbedarf'!$E$1:$E$2</c:f>
              <c:strCache>
                <c:ptCount val="1"/>
                <c:pt idx="0">
                  <c:v>Beurteilung ausstehend</c:v>
                </c:pt>
              </c:strCache>
            </c:strRef>
          </c:tx>
          <c:spPr>
            <a:solidFill>
              <a:srgbClr val="AEAEA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'Jahrestrends Bearbeitungsbedarf'!$A$3:$A$16</c:f>
              <c:strCach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strCache>
            </c:strRef>
          </c:cat>
          <c:val>
            <c:numRef>
              <c:f>'Jahrestrends Bearbeitungsbedarf'!$E$3:$E$16</c:f>
              <c:numCache>
                <c:formatCode>General</c:formatCode>
                <c:ptCount val="13"/>
                <c:pt idx="0">
                  <c:v>73</c:v>
                </c:pt>
                <c:pt idx="1">
                  <c:v>50</c:v>
                </c:pt>
                <c:pt idx="2">
                  <c:v>45</c:v>
                </c:pt>
                <c:pt idx="3">
                  <c:v>45</c:v>
                </c:pt>
                <c:pt idx="4">
                  <c:v>35</c:v>
                </c:pt>
                <c:pt idx="5">
                  <c:v>34</c:v>
                </c:pt>
                <c:pt idx="6">
                  <c:v>34</c:v>
                </c:pt>
                <c:pt idx="7">
                  <c:v>32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A09-4B8C-AAF7-3A2B61D78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1215751"/>
        <c:axId val="1941217799"/>
      </c:barChart>
      <c:catAx>
        <c:axId val="1941215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217799"/>
        <c:crosses val="autoZero"/>
        <c:auto val="1"/>
        <c:lblAlgn val="ctr"/>
        <c:lblOffset val="100"/>
        <c:noMultiLvlLbl val="0"/>
      </c:catAx>
      <c:valAx>
        <c:axId val="1941217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215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</xdr:row>
      <xdr:rowOff>47625</xdr:rowOff>
    </xdr:from>
    <xdr:to>
      <xdr:col>13</xdr:col>
      <xdr:colOff>781050</xdr:colOff>
      <xdr:row>35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C64F66-0B76-ED4D-B4DE-5FD9137D3C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1</xdr:row>
      <xdr:rowOff>0</xdr:rowOff>
    </xdr:from>
    <xdr:to>
      <xdr:col>10</xdr:col>
      <xdr:colOff>19050</xdr:colOff>
      <xdr:row>25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8834E5-B04D-015C-614D-549F470CBC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1</xdr:row>
      <xdr:rowOff>66675</xdr:rowOff>
    </xdr:from>
    <xdr:to>
      <xdr:col>15</xdr:col>
      <xdr:colOff>361950</xdr:colOff>
      <xdr:row>15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1594F4-55E2-DD33-04D8-8137C63D1A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0</xdr:row>
      <xdr:rowOff>95250</xdr:rowOff>
    </xdr:from>
    <xdr:to>
      <xdr:col>9</xdr:col>
      <xdr:colOff>504825</xdr:colOff>
      <xdr:row>25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D3C0C37-AD13-DF5D-E370-C22B065B45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714375</xdr:colOff>
      <xdr:row>0</xdr:row>
      <xdr:rowOff>38100</xdr:rowOff>
    </xdr:from>
    <xdr:to>
      <xdr:col>11</xdr:col>
      <xdr:colOff>209550</xdr:colOff>
      <xdr:row>23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0C3F42-F27E-B2C1-CEE5-C3CB2E522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077.455092708333" createdVersion="8" refreshedVersion="8" minRefreshableVersion="3" recordCount="42" xr:uid="{05BA1987-DB9D-44F0-9078-CE594F137E1F}">
  <cacheSource type="worksheet">
    <worksheetSource ref="A1:F1048576" sheet="Geschäft-Rohdaten"/>
  </cacheSource>
  <cacheFields count="6">
    <cacheField name="Standort" numFmtId="0">
      <sharedItems containsBlank="1"/>
    </cacheField>
    <cacheField name="Geschäft" numFmtId="0">
      <sharedItems containsBlank="1" count="12">
        <s v="PGV (Bauverfahren) vereinfacht"/>
        <s v="Erstbeurteilung"/>
        <s v="Mutation Löschung"/>
        <s v="Mutation Nachführung"/>
        <s v="Voruntersuchung"/>
        <s v="Überwachung"/>
        <s v="Auskunft"/>
        <s v="Sanierung"/>
        <s v="Bewilligung Art. 32d bis"/>
        <m/>
        <s v="Test Workflow" u="1"/>
        <s v="Test 2" u="1"/>
      </sharedItems>
    </cacheField>
    <cacheField name="Aufgabe" numFmtId="0">
      <sharedItems containsBlank="1" count="11">
        <s v="PGV mit Auflagen"/>
        <s v="Kataster:Ersteintrag rechtskräftig"/>
        <s v="Kataster:Löschung rechtskräftig"/>
        <s v="Kataster:Nachführung rechtskräftig"/>
        <s v="Voruntersuchung: Abschluss"/>
        <s v="Überwachung abgeschlossen"/>
        <s v="Kataster: Auskunft"/>
        <s v="Sanierung Ende"/>
        <s v="Entscheid rechtskräftig"/>
        <m/>
        <s v="Test Task" u="1"/>
      </sharedItems>
    </cacheField>
    <cacheField name="Status" numFmtId="0">
      <sharedItems containsBlank="1" count="3">
        <s v="finished"/>
        <s v="started"/>
        <m/>
      </sharedItems>
    </cacheField>
    <cacheField name="Datum" numFmtId="14">
      <sharedItems containsNonDate="0" containsDate="1" containsString="0" containsBlank="1" minDate="2025-03-21T00:00:00" maxDate="2026-01-23T00:00:00"/>
    </cacheField>
    <cacheField name="Sachbearbeitung" numFmtId="0">
      <sharedItems containsBlank="1" count="4">
        <s v="Martin Demo"/>
        <s v="Tanja Demo"/>
        <s v="Timo Demo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077.455092708333" createdVersion="8" refreshedVersion="8" minRefreshableVersion="3" recordCount="41" xr:uid="{50C9D7F2-EE23-413B-8C5F-C9B43F23C013}">
  <cacheSource type="worksheet">
    <worksheetSource ref="A1:C1048576" sheet="Standort-Rohdaten"/>
  </cacheSource>
  <cacheFields count="3">
    <cacheField name="vflz_id" numFmtId="0">
      <sharedItems containsString="0" containsBlank="1" containsNumber="1" containsInteger="1" minValue="7008251" maxValue="7025102"/>
    </cacheField>
    <cacheField name="vflz_combined_id_kt" numFmtId="0">
      <sharedItems containsBlank="1"/>
    </cacheField>
    <cacheField name="c_org_kuerzel" numFmtId="0">
      <sharedItems containsBlank="1" count="5">
        <s v="demo"/>
        <s v="zh"/>
        <m/>
        <s v="bav" u="1"/>
        <s v="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077.455092708333" createdVersion="8" refreshedVersion="8" minRefreshableVersion="3" recordCount="42" xr:uid="{A7F96952-2D1F-4897-A5E0-2863CC98007A}">
  <cacheSource type="worksheet">
    <worksheetSource ref="A1:D1048576" sheet="Geschäft-Rohdaten"/>
  </cacheSource>
  <cacheFields count="4">
    <cacheField name="Standort" numFmtId="0">
      <sharedItems containsBlank="1"/>
    </cacheField>
    <cacheField name="Geschäft" numFmtId="0">
      <sharedItems containsBlank="1" count="12">
        <s v="PGV (Bauverfahren) vereinfacht"/>
        <s v="Erstbeurteilung"/>
        <s v="Mutation Löschung"/>
        <s v="Mutation Nachführung"/>
        <s v="Voruntersuchung"/>
        <s v="Überwachung"/>
        <s v="Auskunft"/>
        <s v="Sanierung"/>
        <s v="Bewilligung Art. 32d bis"/>
        <m/>
        <s v="Test Workflow" u="1"/>
        <s v="Test 2" u="1"/>
      </sharedItems>
    </cacheField>
    <cacheField name="Aufgabe" numFmtId="0">
      <sharedItems containsBlank="1" count="11">
        <s v="PGV mit Auflagen"/>
        <s v="Kataster:Ersteintrag rechtskräftig"/>
        <s v="Kataster:Löschung rechtskräftig"/>
        <s v="Kataster:Nachführung rechtskräftig"/>
        <s v="Voruntersuchung: Abschluss"/>
        <s v="Überwachung abgeschlossen"/>
        <s v="Kataster: Auskunft"/>
        <s v="Sanierung Ende"/>
        <s v="Entscheid rechtskräftig"/>
        <m/>
        <s v="Test Task" u="1"/>
      </sharedItems>
    </cacheField>
    <cacheField name="Status" numFmtId="0">
      <sharedItems containsBlank="1" count="3">
        <s v="finished"/>
        <s v="starte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077.455092708333" createdVersion="8" refreshedVersion="8" minRefreshableVersion="3" recordCount="41" xr:uid="{E2F9F36C-3795-4B52-BADC-4B16D899A4E6}">
  <cacheSource type="worksheet">
    <worksheetSource ref="A1:M1048576" sheet="Standort-Rohdaten"/>
  </cacheSource>
  <cacheFields count="13">
    <cacheField name="vflz_id" numFmtId="0">
      <sharedItems containsString="0" containsBlank="1" containsNumber="1" containsInteger="1" minValue="7008251" maxValue="7025102"/>
    </cacheField>
    <cacheField name="vflz_combined_id_kt" numFmtId="0">
      <sharedItems containsBlank="1"/>
    </cacheField>
    <cacheField name="c_org_kuerzel" numFmtId="0">
      <sharedItems containsBlank="1" count="5">
        <s v="demo"/>
        <s v="zh"/>
        <m/>
        <s v="bav" u="1"/>
        <s v="A" u="1"/>
      </sharedItems>
    </cacheField>
    <cacheField name="c_bere_res_abwbewe" numFmtId="0">
      <sharedItems containsBlank="1" containsMixedTypes="1" containsNumber="1" containsInteger="1" minValue="0" maxValue="3"/>
    </cacheField>
    <cacheField name="bere_res_abwbewe" numFmtId="0">
      <sharedItems containsBlank="1" count="13">
        <s v="Belastet, keine schädlichen oder lästigen Einwirkungen zu erwarten"/>
        <s v="Belastet, sanierungsbedürftig"/>
        <s v="Belastet, überwachungsbedürftig"/>
        <s v="Belastet, untersuchungsbedürftig"/>
        <s v="Belastet, Untersuchungsbedürftigkeit noch nicht definiert"/>
        <s v="Belastet, weder überwachungs- noch sanierungsbedürftig"/>
        <s v="unbelastet"/>
        <s v="Datensatz gelöscht"/>
        <s v="Informationen ungenügend"/>
        <s v="nicht beurteilt: Vollzug nicht BAV"/>
        <m/>
        <s v="Test" u="1"/>
        <s v="Belastet, keine Bedarf" u="1"/>
      </sharedItems>
    </cacheField>
    <cacheField name="c_bewe_gruppe" numFmtId="0">
      <sharedItems containsBlank="1" containsMixedTypes="1" containsNumber="1" containsInteger="1" minValue="1" maxValue="4"/>
    </cacheField>
    <cacheField name="bewe_gruppe" numFmtId="0">
      <sharedItems containsBlank="1" count="7">
        <s v="Belastet - ohne Handlungsbedarf"/>
        <s v="Belastet - mit Handlungsbedarf"/>
        <s v="Sonstige"/>
        <s v="Unbelastet"/>
        <s v="Beurteilung ausstehend / Information ungenügend"/>
        <m/>
        <s v="Test" u="1"/>
      </sharedItems>
    </cacheField>
    <cacheField name="c_vflz_bearbstand" numFmtId="0">
      <sharedItems containsBlank="1"/>
    </cacheField>
    <cacheField name="vflz_bearbstand" numFmtId="0">
      <sharedItems containsBlank="1" count="12">
        <s v="Definitiver Katastereintrag rechtskräftig"/>
        <s v="Nachführung Kataster rechtskräftig"/>
        <s v="Beurteilung BAV abgeschlossen"/>
        <s v="Inhaberorientierung abgeschlossen"/>
        <s v="Löschung: Beurteilung BAV in Bearbeitung"/>
        <s v="Inhaberorientierung läuft"/>
        <s v="Löschung aus Kataster rechtskräftig"/>
        <s v="Nachführung: Beurteilung BAV in Bearbeitung"/>
        <m/>
        <s v="Inhaberorientierung abgeschlossen, kein Eintrag" u="1"/>
        <s v="Anhörung Kanton abgeschlossen" u="1"/>
        <s v="Beurteilung BAV in Bearbeitung" u="1"/>
      </sharedItems>
    </cacheField>
    <cacheField name="c_vflz_unterstand" numFmtId="0">
      <sharedItems containsString="0" containsBlank="1" containsNumber="1" containsInteger="1" minValue="1" maxValue="30"/>
    </cacheField>
    <cacheField name="vflz_unterstand" numFmtId="0">
      <sharedItems containsBlank="1" count="9">
        <s v="keine Untersuchung nach AltlV"/>
        <s v="keine Untersuchung"/>
        <s v="Technische Untersuchung abgeschlossen"/>
        <s v="Historische Untersuchung abgeschlossen"/>
        <s v="Überwachung abgeschlossen"/>
        <s v="Sanierung abgeschlossen"/>
        <s v="Technische Untersuchung in Bearbeitung"/>
        <m/>
        <s v="Überwachung läuft" u="1"/>
      </sharedItems>
    </cacheField>
    <cacheField name="c_vflz_vftyp" numFmtId="0">
      <sharedItems containsString="0" containsBlank="1" containsNumber="1" containsInteger="1" minValue="1" maxValue="3"/>
    </cacheField>
    <cacheField name="vflz_vftyp" numFmtId="0">
      <sharedItems containsBlank="1" count="7">
        <s v="Ablagerungsstandort"/>
        <s v="Unfallstandort"/>
        <s v="Betriebsstandort"/>
        <m/>
        <s v="Kinderspielplatz/Grünfläche" u="1"/>
        <s v="PFAS-Feuerlösch-Standort" u="1"/>
        <s v="Schiessanlagen" u="1"/>
      </sharedItems>
    </cacheField>
  </cacheFields>
  <extLst>
    <ext xmlns:x14="http://schemas.microsoft.com/office/spreadsheetml/2009/9/main" uri="{725AE2AE-9491-48be-B2B4-4EB974FC3084}">
      <x14:pivotCacheDefinition pivotCacheId="140986094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077.455092708333" createdVersion="8" refreshedVersion="8" minRefreshableVersion="3" recordCount="79" xr:uid="{653B2193-B583-4A72-9C06-C8BE1A080B0E}">
  <cacheSource type="worksheet">
    <worksheetSource ref="B1:D1048576" sheet="Jahrestrends-Rohdaten"/>
  </cacheSource>
  <cacheFields count="3">
    <cacheField name="jahr" numFmtId="0">
      <sharedItems containsString="0" containsBlank="1" containsNumber="1" containsInteger="1" minValue="2013" maxValue="2025" count="14"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m/>
      </sharedItems>
    </cacheField>
    <cacheField name="anzahl" numFmtId="0">
      <sharedItems containsString="0" containsBlank="1" containsNumber="1" containsInteger="1" minValue="1" maxValue="110"/>
    </cacheField>
    <cacheField name="kategorie" numFmtId="0">
      <sharedItems containsBlank="1" count="7">
        <s v="Belastet mit Handlungsbedarf"/>
        <s v="Belastet, ohne Handlungsbedarf"/>
        <s v="Belastet, sanierungsbedürftig"/>
        <s v="Belastet, überwachungsbedürftig"/>
        <s v="Belastet, untersuchungsbedürftig"/>
        <s v="Beurteilung ausstehend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3ED83-54B7-4E19-89FF-DA4CCF143CDA}" name="Vollzugszuständigkeit" cacheId="129" applyNumberFormats="0" applyBorderFormats="0" applyFontFormats="0" applyPatternFormats="0" applyAlignmentFormats="0" applyWidthHeightFormats="1" dataCaption="Werte" missingCaption="" showMissing="0" updatedVersion="8" minRefreshableVersion="3" useAutoFormatting="1" itemPrintTitles="1" createdVersion="8" indent="0" compact="0" compactData="0" multipleFieldFilters="0">
  <location ref="A3:B7" firstHeaderRow="1" firstDataRow="1" firstDataCol="1"/>
  <pivotFields count="3">
    <pivotField compact="0" outline="0" showAll="0"/>
    <pivotField compact="0" outline="0" showAll="0"/>
    <pivotField name="Vollzugszuständigkeit" axis="axisRow" dataField="1" compact="0" outline="0" showAll="0" sortType="ascending">
      <items count="6">
        <item m="1" x="4"/>
        <item m="1" x="3"/>
        <item x="0"/>
        <item x="1"/>
        <item x="2"/>
        <item t="default"/>
      </items>
    </pivotField>
  </pivotFields>
  <rowFields count="1">
    <field x="2"/>
  </rowFields>
  <rowItems count="4">
    <i>
      <x v="2"/>
    </i>
    <i>
      <x v="3"/>
    </i>
    <i>
      <x v="4"/>
    </i>
    <i t="grand">
      <x/>
    </i>
  </rowItems>
  <colItems count="1">
    <i/>
  </colItems>
  <dataFields count="1">
    <dataField name="Anzahl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226183-5925-4A2B-87E1-CBCA73B9681E}" name="Beurteilung" cacheId="144" applyNumberFormats="0" applyBorderFormats="0" applyFontFormats="0" applyPatternFormats="0" applyAlignmentFormats="0" applyWidthHeightFormats="1" dataCaption=" " grandTotalCaption="Total" showMissing="0" updatedVersion="8" minRefreshableVersion="3" useAutoFormatting="1" itemPrintTitles="1" createdVersion="8" indent="0" compact="0" compactData="0" multipleFieldFilters="0">
  <location ref="A5:K19" firstHeaderRow="1" firstDataRow="3" firstDataCol="1" rowPageCount="1" colPageCount="1"/>
  <pivotFields count="13">
    <pivotField compact="0" outline="0" showAll="0"/>
    <pivotField compact="0" outline="0" showAll="0"/>
    <pivotField name="Vollzugszuständigkeit" axis="axisPage" compact="0" outline="0" showAll="0">
      <items count="6">
        <item m="1" x="4"/>
        <item m="1" x="3"/>
        <item x="0"/>
        <item x="1"/>
        <item x="2"/>
        <item t="default"/>
      </items>
    </pivotField>
    <pivotField compact="0" outline="0" showAll="0"/>
    <pivotField name="Beurteilung" axis="axisRow" dataField="1" compact="0" outline="0" showAll="0">
      <items count="14">
        <item x="0"/>
        <item x="5"/>
        <item x="6"/>
        <item x="10"/>
        <item m="1" x="12"/>
        <item x="3"/>
        <item x="4"/>
        <item x="9"/>
        <item m="1" x="11"/>
        <item x="1"/>
        <item x="2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Standorttyp" axis="axisCol" compact="0" outline="0" showAll="0">
      <items count="8">
        <item x="0"/>
        <item x="2"/>
        <item x="3"/>
        <item m="1" x="4"/>
        <item m="1" x="5"/>
        <item m="1" x="6"/>
        <item x="1"/>
        <item t="default"/>
      </items>
    </pivotField>
  </pivotFields>
  <rowFields count="1">
    <field x="4"/>
  </rowFields>
  <rowItems count="12">
    <i>
      <x/>
    </i>
    <i>
      <x v="1"/>
    </i>
    <i>
      <x v="2"/>
    </i>
    <i>
      <x v="3"/>
    </i>
    <i>
      <x v="5"/>
    </i>
    <i>
      <x v="6"/>
    </i>
    <i>
      <x v="7"/>
    </i>
    <i>
      <x v="9"/>
    </i>
    <i>
      <x v="10"/>
    </i>
    <i>
      <x v="11"/>
    </i>
    <i>
      <x v="12"/>
    </i>
    <i t="grand">
      <x/>
    </i>
  </rowItems>
  <colFields count="2">
    <field x="1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6"/>
      <x/>
    </i>
    <i r="1" i="1">
      <x v="1"/>
    </i>
    <i t="grand">
      <x/>
    </i>
    <i t="grand" i="1">
      <x/>
    </i>
  </colItems>
  <pageFields count="1">
    <pageField fld="2" hier="-1"/>
  </pageFields>
  <dataFields count="2">
    <dataField name="Anzahl" fld="4" subtotal="count" baseField="0" baseItem="0"/>
    <dataField name="Anteil" fld="4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A8FDC-6A29-443A-B3B5-557A21070C21}" name="Beurteilung" cacheId="144" applyNumberFormats="0" applyBorderFormats="0" applyFontFormats="0" applyPatternFormats="0" applyAlignmentFormats="0" applyWidthHeightFormats="1" dataCaption=" " grandTotalCaption="Total" showMissing="0" updatedVersion="8" minRefreshableVersion="3" useAutoFormatting="1" itemPrintTitles="1" createdVersion="8" indent="0" compact="0" compactData="0" multipleFieldFilters="0" chartFormat="2">
  <location ref="A5:C12" firstHeaderRow="0" firstDataRow="1" firstDataCol="1" rowPageCount="1" colPageCount="1"/>
  <pivotFields count="13">
    <pivotField compact="0" outline="0" showAll="0"/>
    <pivotField compact="0" outline="0" showAll="0"/>
    <pivotField name="Vollzugszuständigkeit" axis="axisPage" compact="0" outline="0" showAll="0">
      <items count="6">
        <item m="1" x="4"/>
        <item m="1" x="3"/>
        <item x="0"/>
        <item h="1" x="1"/>
        <item h="1" x="2"/>
        <item t="default"/>
      </items>
    </pivotField>
    <pivotField compact="0" outline="0" showAll="0"/>
    <pivotField name="Beurteilung" axis="axisRow" dataField="1" compact="0" outline="0" showAll="0">
      <items count="14">
        <item x="0"/>
        <item x="5"/>
        <item h="1" x="6"/>
        <item h="1" x="10"/>
        <item h="1" m="1" x="12"/>
        <item x="3"/>
        <item x="4"/>
        <item h="1" x="9"/>
        <item h="1" m="1" x="11"/>
        <item x="1"/>
        <item x="2"/>
        <item h="1" x="7"/>
        <item h="1"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Standorttyp" compact="0" outline="0" showAll="0"/>
  </pivotFields>
  <rowFields count="1">
    <field x="4"/>
  </rowFields>
  <rowItems count="7">
    <i>
      <x/>
    </i>
    <i>
      <x v="1"/>
    </i>
    <i>
      <x v="5"/>
    </i>
    <i>
      <x v="6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2" item="2" hier="-1"/>
  </pageFields>
  <dataFields count="2">
    <dataField name="Anzahl" fld="4" subtotal="count" baseField="0" baseItem="0"/>
    <dataField name="Anteil" fld="4" subtotal="count" showDataAs="percentOfTotal" baseField="0" baseItem="0" numFmtId="10"/>
  </dataFields>
  <chartFormats count="1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4" count="1" selected="0">
            <x v="6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4" count="1" selected="0">
            <x v="9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60D2E4-0BB1-4BD1-83F5-7186B54A1BDE}" name="PivotTable1" cacheId="144" applyNumberFormats="0" applyBorderFormats="0" applyFontFormats="0" applyPatternFormats="0" applyAlignmentFormats="0" applyWidthHeightFormats="1" dataCaption="Werte" showMissing="0" updatedVersion="8" minRefreshableVersion="3" useAutoFormatting="1" itemPrintTitles="1" createdVersion="8" indent="0" compact="0" compactData="0" multipleFieldFilters="0" chartFormat="5">
  <location ref="A5:C23" firstHeaderRow="1" firstDataRow="1" firstDataCol="2" rowPageCount="1" colPageCount="1"/>
  <pivotFields count="13">
    <pivotField compact="0" outline="0" showAll="0"/>
    <pivotField compact="0" outline="0" showAll="0"/>
    <pivotField name="Vollzugszuständigkeit" axis="axisPage" compact="0" outline="0" showAll="0">
      <items count="6">
        <item m="1" x="4"/>
        <item m="1" x="3"/>
        <item x="0"/>
        <item x="1"/>
        <item x="2"/>
        <item t="default"/>
      </items>
    </pivotField>
    <pivotField compact="0" outline="0" showAll="0"/>
    <pivotField name="Beurteilung" axis="axisRow" dataField="1" compact="0" outline="0" showAll="0">
      <items count="14">
        <item x="0"/>
        <item x="5"/>
        <item x="6"/>
        <item x="10"/>
        <item m="1" x="12"/>
        <item x="3"/>
        <item x="4"/>
        <item x="9"/>
        <item m="1" x="11"/>
        <item x="1"/>
        <item x="2"/>
        <item x="7"/>
        <item x="8"/>
        <item t="default"/>
      </items>
    </pivotField>
    <pivotField compact="0" outline="0" showAll="0"/>
    <pivotField name="Gruppe" axis="axisRow" compact="0" outline="0" showAll="0">
      <items count="8">
        <item x="0"/>
        <item x="3"/>
        <item x="5"/>
        <item x="1"/>
        <item x="4"/>
        <item m="1" x="6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6"/>
    <field x="4"/>
  </rowFields>
  <rowItems count="18">
    <i>
      <x/>
      <x/>
    </i>
    <i r="1">
      <x v="1"/>
    </i>
    <i t="default">
      <x/>
    </i>
    <i>
      <x v="1"/>
      <x v="2"/>
    </i>
    <i t="default">
      <x v="1"/>
    </i>
    <i>
      <x v="2"/>
      <x v="3"/>
    </i>
    <i t="default">
      <x v="2"/>
    </i>
    <i>
      <x v="3"/>
      <x v="5"/>
    </i>
    <i r="1">
      <x v="9"/>
    </i>
    <i r="1">
      <x v="10"/>
    </i>
    <i t="default">
      <x v="3"/>
    </i>
    <i>
      <x v="4"/>
      <x v="7"/>
    </i>
    <i r="1">
      <x v="12"/>
    </i>
    <i t="default">
      <x v="4"/>
    </i>
    <i>
      <x v="6"/>
      <x v="6"/>
    </i>
    <i r="1">
      <x v="11"/>
    </i>
    <i t="default">
      <x v="6"/>
    </i>
    <i t="grand">
      <x/>
    </i>
  </rowItems>
  <colItems count="1">
    <i/>
  </colItems>
  <pageFields count="1">
    <pageField fld="2" hier="-1"/>
  </pageFields>
  <dataFields count="1">
    <dataField name="Anzahl" fld="4" subtotal="count" baseField="0" baseItem="0"/>
  </dataFields>
  <chartFormats count="2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6" count="1" selected="0">
            <x v="2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3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6" count="1" selected="0">
            <x v="4"/>
          </reference>
        </references>
      </pivotArea>
    </chartFormat>
    <chartFormat chart="1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6" count="1" selected="0">
            <x v="4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2" format="11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6" count="1" selected="0">
            <x v="2"/>
          </reference>
        </references>
      </pivotArea>
    </chartFormat>
    <chartFormat chart="2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3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6" count="1" selected="0">
            <x v="4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6" count="1" selected="0">
            <x v="4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6" count="1" selected="0">
            <x v="0"/>
          </reference>
        </references>
      </pivotArea>
    </chartFormat>
    <chartFormat chart="3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0"/>
          </reference>
        </references>
      </pivotArea>
    </chartFormat>
    <chartFormat chart="3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6" count="1" selected="0">
            <x v="1"/>
          </reference>
        </references>
      </pivotArea>
    </chartFormat>
    <chartFormat chart="3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6" count="1" selected="0">
            <x v="2"/>
          </reference>
        </references>
      </pivotArea>
    </chartFormat>
    <chartFormat chart="3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5"/>
          </reference>
          <reference field="6" count="1" selected="0">
            <x v="3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6"/>
          </reference>
          <reference field="6" count="1" selected="0">
            <x v="4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7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29951E-6B55-4554-9498-0240FB986E17}" name="PivotTable1" cacheId="144" applyNumberFormats="0" applyBorderFormats="0" applyFontFormats="0" applyPatternFormats="0" applyAlignmentFormats="0" applyWidthHeightFormats="1" dataCaption="Werte" missingCaption="" showMissing="0" updatedVersion="8" minRefreshableVersion="3" useAutoFormatting="1" itemPrintTitles="1" createdVersion="8" indent="0" compact="0" compactData="0" multipleFieldFilters="0" chartFormat="6">
  <location ref="A5:B12" firstHeaderRow="1" firstDataRow="1" firstDataCol="1" rowPageCount="1" colPageCount="1"/>
  <pivotFields count="13">
    <pivotField compact="0" outline="0" showAll="0"/>
    <pivotField compact="0" outline="0" showAll="0"/>
    <pivotField name="Vollzugszuständigkeit" axis="axisPage" compact="0" outline="0" multipleItemSelectionAllowed="1" showAll="0">
      <items count="6">
        <item m="1" x="4"/>
        <item m="1" x="3"/>
        <item x="0"/>
        <item x="1"/>
        <item x="2"/>
        <item t="default"/>
      </items>
    </pivotField>
    <pivotField compact="0" outline="0" showAll="0"/>
    <pivotField name="Beurteilung" compact="0" outline="0" showAll="0"/>
    <pivotField compact="0" outline="0" showAll="0"/>
    <pivotField name="Anzahl" axis="axisRow" dataField="1" compact="0" outline="0" showAll="0" sortType="ascending">
      <items count="8">
        <item x="1"/>
        <item x="0"/>
        <item x="4"/>
        <item x="2"/>
        <item m="1" x="6"/>
        <item x="3"/>
        <item x="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Items count="1">
    <i/>
  </colItems>
  <pageFields count="1">
    <pageField fld="2" hier="-1"/>
  </pageFields>
  <dataFields count="1">
    <dataField name="Count of Gruppe" fld="6" subtotal="count" baseField="0" baseItem="0"/>
  </dataFields>
  <chartFormats count="7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5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CA286-212C-4295-8895-D57DC76BEF5D}" name="PivotTable1" cacheId="144" applyNumberFormats="0" applyBorderFormats="0" applyFontFormats="0" applyPatternFormats="0" applyAlignmentFormats="0" applyWidthHeightFormats="1" dataCaption=" " grandTotalCaption="Total" showMissing="0" updatedVersion="8" minRefreshableVersion="3" useAutoFormatting="1" itemPrintTitles="1" createdVersion="8" indent="0" compact="0" compactData="0" multipleFieldFilters="0">
  <location ref="A5:K17" firstHeaderRow="1" firstDataRow="3" firstDataCol="1" rowPageCount="1" colPageCount="1"/>
  <pivotFields count="13">
    <pivotField compact="0" outline="0" showAll="0"/>
    <pivotField compact="0" outline="0" showAll="0"/>
    <pivotField name="Vollzugszuständigkeit" axis="axisPage" compact="0" outline="0" showAll="0">
      <items count="6">
        <item m="1" x="3"/>
        <item x="2"/>
        <item m="1" x="4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Bearbeitungsstand" axis="axisRow" dataField="1" compact="0" outline="0" showAll="0">
      <items count="13">
        <item m="1" x="10"/>
        <item m="1" x="11"/>
        <item x="0"/>
        <item m="1" x="9"/>
        <item x="6"/>
        <item x="1"/>
        <item x="8"/>
        <item x="7"/>
        <item x="2"/>
        <item x="3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name="Standorttyp" axis="axisCol" compact="0" outline="0" showAll="0">
      <items count="8">
        <item x="0"/>
        <item x="2"/>
        <item x="3"/>
        <item m="1" x="4"/>
        <item m="1" x="5"/>
        <item m="1" x="6"/>
        <item x="1"/>
        <item t="default"/>
      </items>
    </pivotField>
  </pivotFields>
  <rowFields count="1">
    <field x="8"/>
  </rowFields>
  <rowItems count="10"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2">
    <field x="12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6"/>
      <x/>
    </i>
    <i r="1" i="1">
      <x v="1"/>
    </i>
    <i t="grand">
      <x/>
    </i>
    <i t="grand" i="1">
      <x/>
    </i>
  </colItems>
  <pageFields count="1">
    <pageField fld="2" hier="-1"/>
  </pageFields>
  <dataFields count="2">
    <dataField name="Anzahl" fld="8" subtotal="count" baseField="0" baseItem="0"/>
    <dataField name="Anteil" fld="8" subtotal="count" showDataAs="percentOfTotal" baseField="0" baseItem="0" numFmtId="10"/>
  </dataFields>
  <formats count="1">
    <format dxfId="1">
      <pivotArea field="2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7B727-33A4-4A69-9EA5-AE7A73E10B8D}" name="PivotTable1" cacheId="144" applyNumberFormats="0" applyBorderFormats="0" applyFontFormats="0" applyPatternFormats="0" applyAlignmentFormats="0" applyWidthHeightFormats="1" dataCaption=" " showMissing="0" updatedVersion="8" minRefreshableVersion="3" useAutoFormatting="1" itemPrintTitles="1" createdVersion="8" indent="0" compact="0" compactData="0" multipleFieldFilters="0">
  <location ref="A5:G14" firstHeaderRow="1" firstDataRow="3" firstDataCol="1" rowPageCount="1" colPageCount="1"/>
  <pivotFields count="13">
    <pivotField compact="0" outline="0" showAll="0"/>
    <pivotField compact="0" outline="0" showAll="0"/>
    <pivotField name="Vollzugszuständigkeit" axis="axisPage" compact="0" outline="0" showAll="0">
      <items count="6">
        <item m="1" x="3"/>
        <item x="2"/>
        <item m="1" x="4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Untersuchungsstand" axis="axisRow" dataField="1" compact="0" outline="0" showAll="0">
      <items count="10">
        <item x="3"/>
        <item x="1"/>
        <item x="2"/>
        <item x="7"/>
        <item m="1" x="8"/>
        <item x="0"/>
        <item x="6"/>
        <item x="4"/>
        <item x="5"/>
        <item t="default"/>
      </items>
    </pivotField>
    <pivotField compact="0" outline="0" showAll="0"/>
    <pivotField name="Standorttyp" axis="axisCol" compact="0" outline="0" showAll="0">
      <items count="8">
        <item x="0"/>
        <item x="2"/>
        <item h="1" x="3"/>
        <item h="1" m="1" x="4"/>
        <item h="1" m="1" x="5"/>
        <item h="1" m="1" x="6"/>
        <item h="1" x="1"/>
        <item t="default"/>
      </items>
    </pivotField>
  </pivotFields>
  <rowFields count="1">
    <field x="10"/>
  </rowFields>
  <rowItems count="7">
    <i>
      <x/>
    </i>
    <i>
      <x v="1"/>
    </i>
    <i>
      <x v="2"/>
    </i>
    <i>
      <x v="5"/>
    </i>
    <i>
      <x v="6"/>
    </i>
    <i>
      <x v="8"/>
    </i>
    <i t="grand">
      <x/>
    </i>
  </rowItems>
  <colFields count="2">
    <field x="12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2" hier="-1"/>
  </pageFields>
  <dataFields count="2">
    <dataField name="Anzahl" fld="10" subtotal="count" baseField="0" baseItem="0"/>
    <dataField name="Anteil" fld="10" subtotal="count" showDataAs="percentOfTotal" baseField="0" baseItem="0" numFmtId="10"/>
  </dataFields>
  <formats count="1">
    <format dxfId="0">
      <pivotArea field="2" type="button" dataOnly="0" labelOnly="1" outline="0" axis="axisPage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DC309B-0AF9-4EE8-B853-58EA785DDD29}" name="PivotTable2" cacheId="135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compactData="0" multipleFieldFilters="0">
  <location ref="A5:C24" firstHeaderRow="1" firstDataRow="1" firstDataCol="2" rowPageCount="1" colPageCount="1"/>
  <pivotFields count="4">
    <pivotField dataField="1" compact="0" outline="0" showAll="0"/>
    <pivotField axis="axisRow" compact="0" outline="0" showAll="0">
      <items count="13">
        <item x="0"/>
        <item m="1" x="11"/>
        <item m="1" x="10"/>
        <item x="9"/>
        <item x="1"/>
        <item x="2"/>
        <item x="3"/>
        <item x="4"/>
        <item x="5"/>
        <item x="7"/>
        <item x="8"/>
        <item x="6"/>
        <item t="default"/>
      </items>
    </pivotField>
    <pivotField axis="axisRow" compact="0" outline="0" showAll="0">
      <items count="12">
        <item x="0"/>
        <item m="1" x="10"/>
        <item x="9"/>
        <item x="1"/>
        <item x="2"/>
        <item x="3"/>
        <item x="4"/>
        <item x="5"/>
        <item x="7"/>
        <item x="8"/>
        <item x="6"/>
        <item t="default"/>
      </items>
    </pivotField>
    <pivotField axis="axisPage" compact="0" outline="0" multipleItemSelectionAllowed="1" showAll="0">
      <items count="4">
        <item h="1" x="0"/>
        <item x="1"/>
        <item h="1" x="2"/>
        <item t="default"/>
      </items>
    </pivotField>
  </pivotFields>
  <rowFields count="2">
    <field x="1"/>
    <field x="2"/>
  </rowFields>
  <rowItems count="19">
    <i>
      <x/>
      <x/>
    </i>
    <i t="default">
      <x/>
    </i>
    <i>
      <x v="4"/>
      <x v="3"/>
    </i>
    <i t="default">
      <x v="4"/>
    </i>
    <i>
      <x v="5"/>
      <x v="4"/>
    </i>
    <i t="default">
      <x v="5"/>
    </i>
    <i>
      <x v="6"/>
      <x v="5"/>
    </i>
    <i t="default">
      <x v="6"/>
    </i>
    <i>
      <x v="7"/>
      <x v="6"/>
    </i>
    <i t="default">
      <x v="7"/>
    </i>
    <i>
      <x v="8"/>
      <x v="7"/>
    </i>
    <i t="default">
      <x v="8"/>
    </i>
    <i>
      <x v="9"/>
      <x v="8"/>
    </i>
    <i t="default">
      <x v="9"/>
    </i>
    <i>
      <x v="10"/>
      <x v="9"/>
    </i>
    <i t="default">
      <x v="10"/>
    </i>
    <i>
      <x v="11"/>
      <x v="10"/>
    </i>
    <i t="default">
      <x v="11"/>
    </i>
    <i t="grand">
      <x/>
    </i>
  </rowItems>
  <colItems count="1">
    <i/>
  </colItems>
  <pageFields count="1">
    <pageField fld="3" hier="-1"/>
  </pageFields>
  <dataFields count="1">
    <dataField name="Anzahl von Stand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90FB4-B69A-40F1-827C-5E1FEBE37794}" name="PivotTable1" cacheId="125" applyNumberFormats="0" applyBorderFormats="0" applyFontFormats="0" applyPatternFormats="0" applyAlignmentFormats="0" applyWidthHeightFormats="1" dataCaption="Werte" showMissing="0" updatedVersion="8" minRefreshableVersion="3" useAutoFormatting="1" itemPrintTitles="1" createdVersion="8" indent="0" compact="0" compactData="0" multipleFieldFilters="0" chartFormat="1">
  <location ref="A5:E21" firstHeaderRow="1" firstDataRow="2" firstDataCol="2" rowPageCount="1" colPageCount="1"/>
  <pivotFields count="6">
    <pivotField dataField="1" compact="0" outline="0" showAll="0"/>
    <pivotField axis="axisRow" compact="0" outline="0" showAll="0">
      <items count="13">
        <item x="0"/>
        <item m="1" x="11"/>
        <item m="1" x="10"/>
        <item x="9"/>
        <item x="1"/>
        <item x="2"/>
        <item x="3"/>
        <item x="4"/>
        <item x="5"/>
        <item x="7"/>
        <item x="8"/>
        <item x="6"/>
        <item t="default"/>
      </items>
    </pivotField>
    <pivotField axis="axisRow" compact="0" outline="0" showAll="0">
      <items count="12">
        <item x="0"/>
        <item m="1" x="10"/>
        <item x="9"/>
        <item x="1"/>
        <item x="2"/>
        <item x="3"/>
        <item x="4"/>
        <item x="5"/>
        <item x="7"/>
        <item x="8"/>
        <item x="6"/>
        <item t="default"/>
      </items>
    </pivotField>
    <pivotField axis="axisPage" compact="0" outline="0" showAll="0">
      <items count="4">
        <item x="0"/>
        <item h="1" x="1"/>
        <item h="1" x="2"/>
        <item t="default"/>
      </items>
    </pivotField>
    <pivotField compact="0" outline="0" showAll="0"/>
    <pivotField axis="axisCol" compact="0" outline="0" showAll="0">
      <items count="5">
        <item x="0"/>
        <item x="3"/>
        <item x="1"/>
        <item x="2"/>
        <item t="default"/>
      </items>
    </pivotField>
  </pivotFields>
  <rowFields count="2">
    <field x="1"/>
    <field x="2"/>
  </rowFields>
  <rowItems count="15">
    <i>
      <x/>
      <x/>
    </i>
    <i t="default">
      <x/>
    </i>
    <i>
      <x v="4"/>
      <x v="3"/>
    </i>
    <i t="default">
      <x v="4"/>
    </i>
    <i>
      <x v="5"/>
      <x v="4"/>
    </i>
    <i t="default">
      <x v="5"/>
    </i>
    <i>
      <x v="6"/>
      <x v="5"/>
    </i>
    <i t="default">
      <x v="6"/>
    </i>
    <i>
      <x v="7"/>
      <x v="6"/>
    </i>
    <i t="default">
      <x v="7"/>
    </i>
    <i>
      <x v="8"/>
      <x v="7"/>
    </i>
    <i t="default">
      <x v="8"/>
    </i>
    <i>
      <x v="11"/>
      <x v="10"/>
    </i>
    <i t="default">
      <x v="11"/>
    </i>
    <i t="grand">
      <x/>
    </i>
  </rowItems>
  <colFields count="1">
    <field x="5"/>
  </colFields>
  <colItems count="3">
    <i>
      <x/>
    </i>
    <i>
      <x v="2"/>
    </i>
    <i t="grand">
      <x/>
    </i>
  </colItems>
  <pageFields count="1">
    <pageField fld="3" item="0" hier="-1"/>
  </pageFields>
  <dataFields count="1">
    <dataField name="Anzahl von Standor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D9A72-B8F4-41E7-850C-67E7E8B3EF83}" name="PivotTable1" cacheId="125" applyNumberFormats="0" applyBorderFormats="0" applyFontFormats="0" applyPatternFormats="0" applyAlignmentFormats="0" applyWidthHeightFormats="1" dataCaption="Werte" showMissing="0" updatedVersion="8" minRefreshableVersion="3" useAutoFormatting="1" itemPrintTitles="1" createdVersion="8" indent="0" compact="0" compactData="0" multipleFieldFilters="0" chartFormat="2">
  <location ref="A5:B13" firstHeaderRow="1" firstDataRow="1" firstDataCol="1" rowPageCount="1" colPageCount="1"/>
  <pivotFields count="6">
    <pivotField dataField="1" compact="0" outline="0" showAll="0"/>
    <pivotField compact="0" outline="0" showAll="0"/>
    <pivotField axis="axisRow" compact="0" outline="0" showAll="0">
      <items count="12">
        <item x="0"/>
        <item m="1" x="10"/>
        <item x="9"/>
        <item x="1"/>
        <item x="2"/>
        <item x="3"/>
        <item x="4"/>
        <item x="5"/>
        <item x="7"/>
        <item x="8"/>
        <item x="6"/>
        <item t="default"/>
      </items>
    </pivotField>
    <pivotField axis="axisPage" compact="0" outline="0" showAll="0">
      <items count="4">
        <item x="0"/>
        <item h="1" x="1"/>
        <item h="1" x="2"/>
        <item t="default"/>
      </items>
    </pivotField>
    <pivotField compact="0" outline="0" showAll="0"/>
    <pivotField compact="0" outline="0" showAll="0"/>
  </pivotFields>
  <rowFields count="1">
    <field x="2"/>
  </rowFields>
  <rowItems count="8">
    <i>
      <x/>
    </i>
    <i>
      <x v="3"/>
    </i>
    <i>
      <x v="4"/>
    </i>
    <i>
      <x v="5"/>
    </i>
    <i>
      <x v="6"/>
    </i>
    <i>
      <x v="7"/>
    </i>
    <i>
      <x v="10"/>
    </i>
    <i t="grand">
      <x/>
    </i>
  </rowItems>
  <colItems count="1">
    <i/>
  </colItems>
  <pageFields count="1">
    <pageField fld="3" item="0" hier="-1"/>
  </pageFields>
  <dataFields count="1">
    <dataField name="Anzahl von Standort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DF1DD4-6B80-406D-A93D-C6A860C1D7BE}" name="PivotTable1" cacheId="149" applyNumberFormats="0" applyBorderFormats="0" applyFontFormats="0" applyPatternFormats="0" applyAlignmentFormats="0" applyWidthHeightFormats="1" dataCaption="Werte" missingCaption="-" showMissing="0" updatedVersion="8" minRefreshableVersion="3" useAutoFormatting="1" colGrandTotals="0" itemPrintTitles="1" createdVersion="8" indent="0" compact="0" compactData="0" multipleFieldFilters="0" chartFormat="5">
  <location ref="A1:C16" firstHeaderRow="1" firstDataRow="2" firstDataCol="1"/>
  <pivotFields count="3"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outline="0" showAll="0"/>
    <pivotField name="Standortkategorien" axis="axisCol" compact="0" outline="0" showAll="0">
      <items count="8">
        <item x="0"/>
        <item x="1"/>
        <item h="1" x="2"/>
        <item h="1" x="3"/>
        <item h="1" x="4"/>
        <item h="1" x="5"/>
        <item h="1" x="6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2">
    <i>
      <x/>
    </i>
    <i>
      <x v="1"/>
    </i>
  </colItems>
  <dataFields count="1">
    <dataField name="Bearbeitungsbedarf" fld="1" baseField="0" baseItem="0"/>
  </dataFields>
  <chartFormats count="8"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E95D9-362D-4BF4-BB8E-5B793317D168}" name="PivotTable1" cacheId="149" applyNumberFormats="0" applyBorderFormats="0" applyFontFormats="0" applyPatternFormats="0" applyAlignmentFormats="0" applyWidthHeightFormats="1" dataCaption="Werte" missingCaption="-" showMissing="0" updatedVersion="8" minRefreshableVersion="3" useAutoFormatting="1" colGrandTotals="0" itemPrintTitles="1" createdVersion="8" indent="0" compact="0" compactData="0" multipleFieldFilters="0" chartFormat="6">
  <location ref="A1:E16" firstHeaderRow="1" firstDataRow="2" firstDataCol="1"/>
  <pivotFields count="3"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outline="0" showAll="0"/>
    <pivotField name="Standortkategorien" axis="axisCol" compact="0" outline="0" showAll="0" sortType="ascending">
      <items count="8">
        <item h="1" x="0"/>
        <item h="1" x="1"/>
        <item x="2"/>
        <item x="3"/>
        <item x="4"/>
        <item x="5"/>
        <item h="1" x="6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4">
    <i>
      <x v="2"/>
    </i>
    <i>
      <x v="3"/>
    </i>
    <i>
      <x v="4"/>
    </i>
    <i>
      <x v="5"/>
    </i>
  </colItems>
  <dataFields count="1">
    <dataField name="Bearbeitungsbedarf" fld="1" baseField="0" baseItem="0"/>
  </dataFields>
  <chartFormats count="15"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C1DD-0F22-4BC5-9354-A4486B57322C}">
  <dimension ref="A1:B7"/>
  <sheetViews>
    <sheetView workbookViewId="0">
      <selection activeCell="B15" sqref="B15"/>
    </sheetView>
  </sheetViews>
  <sheetFormatPr defaultRowHeight="15"/>
  <cols>
    <col min="1" max="1" width="23.7109375" bestFit="1" customWidth="1"/>
    <col min="2" max="2" width="7.140625" customWidth="1"/>
  </cols>
  <sheetData>
    <row r="1" spans="1:2">
      <c r="A1" s="11" t="s">
        <v>0</v>
      </c>
      <c r="B1" s="5">
        <f>'Stichtag-Rohdaten'!A2</f>
        <v>46044</v>
      </c>
    </row>
    <row r="3" spans="1:2">
      <c r="A3" s="1" t="s">
        <v>1</v>
      </c>
      <c r="B3" t="s">
        <v>2</v>
      </c>
    </row>
    <row r="4" spans="1:2">
      <c r="A4" t="s">
        <v>3</v>
      </c>
      <c r="B4" s="15">
        <v>36</v>
      </c>
    </row>
    <row r="5" spans="1:2">
      <c r="A5" t="s">
        <v>4</v>
      </c>
      <c r="B5" s="15">
        <v>4</v>
      </c>
    </row>
    <row r="6" spans="1:2">
      <c r="A6" t="s">
        <v>5</v>
      </c>
      <c r="B6" s="15">
        <v>0</v>
      </c>
    </row>
    <row r="7" spans="1:2">
      <c r="A7" t="s">
        <v>6</v>
      </c>
      <c r="B7" s="1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7249-28DF-4C24-B783-5B3220EC1ABE}">
  <dimension ref="A1:K19"/>
  <sheetViews>
    <sheetView workbookViewId="0">
      <selection activeCell="A22" sqref="A22"/>
    </sheetView>
  </sheetViews>
  <sheetFormatPr defaultRowHeight="15"/>
  <cols>
    <col min="1" max="1" width="59.7109375" customWidth="1"/>
    <col min="2" max="2" width="19.85546875" customWidth="1"/>
    <col min="3" max="3" width="7.7109375" customWidth="1"/>
    <col min="4" max="4" width="16.28515625" customWidth="1"/>
    <col min="5" max="5" width="7.7109375" customWidth="1"/>
    <col min="6" max="6" width="7.42578125" bestFit="1" customWidth="1"/>
    <col min="7" max="7" width="6.5703125" bestFit="1" customWidth="1"/>
    <col min="8" max="8" width="14.140625" bestFit="1" customWidth="1"/>
    <col min="9" max="9" width="7.7109375" bestFit="1" customWidth="1"/>
    <col min="10" max="10" width="11.85546875" bestFit="1" customWidth="1"/>
    <col min="11" max="11" width="11.140625" bestFit="1" customWidth="1"/>
    <col min="12" max="12" width="15.28515625" bestFit="1" customWidth="1"/>
    <col min="13" max="13" width="7.7109375" bestFit="1" customWidth="1"/>
    <col min="14" max="14" width="14.140625" bestFit="1" customWidth="1"/>
    <col min="15" max="15" width="6.5703125" bestFit="1" customWidth="1"/>
    <col min="16" max="16" width="11.85546875" bestFit="1" customWidth="1"/>
    <col min="17" max="17" width="11.140625" bestFit="1" customWidth="1"/>
  </cols>
  <sheetData>
    <row r="1" spans="1:11">
      <c r="A1" s="11" t="s">
        <v>0</v>
      </c>
      <c r="B1" s="5">
        <f>'Stichtag-Rohdaten'!A2</f>
        <v>46044</v>
      </c>
    </row>
    <row r="2" spans="1:11">
      <c r="A2" s="11"/>
      <c r="B2" s="5"/>
    </row>
    <row r="3" spans="1:11">
      <c r="A3" s="1" t="s">
        <v>1</v>
      </c>
      <c r="B3" t="s">
        <v>7</v>
      </c>
    </row>
    <row r="5" spans="1:11">
      <c r="B5" s="1" t="s">
        <v>8</v>
      </c>
      <c r="C5" s="1" t="s">
        <v>9</v>
      </c>
    </row>
    <row r="6" spans="1:11">
      <c r="B6" t="s">
        <v>10</v>
      </c>
      <c r="D6" t="s">
        <v>11</v>
      </c>
      <c r="F6" t="s">
        <v>5</v>
      </c>
      <c r="H6" t="s">
        <v>12</v>
      </c>
      <c r="J6" t="s">
        <v>13</v>
      </c>
      <c r="K6" t="s">
        <v>14</v>
      </c>
    </row>
    <row r="7" spans="1:11">
      <c r="A7" s="1" t="s">
        <v>15</v>
      </c>
      <c r="B7" t="s">
        <v>2</v>
      </c>
      <c r="C7" t="s">
        <v>16</v>
      </c>
      <c r="D7" t="s">
        <v>2</v>
      </c>
      <c r="E7" t="s">
        <v>16</v>
      </c>
      <c r="F7" t="s">
        <v>2</v>
      </c>
      <c r="G7" t="s">
        <v>16</v>
      </c>
      <c r="H7" t="s">
        <v>2</v>
      </c>
      <c r="I7" t="s">
        <v>16</v>
      </c>
    </row>
    <row r="8" spans="1:11">
      <c r="A8" t="s">
        <v>17</v>
      </c>
      <c r="B8" s="15">
        <v>2</v>
      </c>
      <c r="C8" s="2">
        <v>0.05</v>
      </c>
      <c r="D8" s="15">
        <v>0</v>
      </c>
      <c r="E8" s="2">
        <v>0</v>
      </c>
      <c r="F8" s="15">
        <v>0</v>
      </c>
      <c r="G8" s="2">
        <v>0</v>
      </c>
      <c r="H8" s="15">
        <v>4</v>
      </c>
      <c r="I8" s="2">
        <v>0.1</v>
      </c>
      <c r="J8" s="15">
        <v>6</v>
      </c>
      <c r="K8" s="2">
        <v>0.15</v>
      </c>
    </row>
    <row r="9" spans="1:11">
      <c r="A9" t="s">
        <v>18</v>
      </c>
      <c r="B9" s="15">
        <v>0</v>
      </c>
      <c r="C9" s="2">
        <v>0</v>
      </c>
      <c r="D9" s="15">
        <v>7</v>
      </c>
      <c r="E9" s="2">
        <v>0.17499999999999999</v>
      </c>
      <c r="F9" s="15">
        <v>0</v>
      </c>
      <c r="G9" s="2">
        <v>0</v>
      </c>
      <c r="H9" s="15">
        <v>2</v>
      </c>
      <c r="I9" s="2">
        <v>0.05</v>
      </c>
      <c r="J9" s="15">
        <v>9</v>
      </c>
      <c r="K9" s="2">
        <v>0.22500000000000001</v>
      </c>
    </row>
    <row r="10" spans="1:11">
      <c r="A10" t="s">
        <v>19</v>
      </c>
      <c r="B10" s="15">
        <v>0</v>
      </c>
      <c r="C10" s="2">
        <v>0</v>
      </c>
      <c r="D10" s="15">
        <v>1</v>
      </c>
      <c r="E10" s="2">
        <v>2.5000000000000001E-2</v>
      </c>
      <c r="F10" s="15">
        <v>0</v>
      </c>
      <c r="G10" s="2">
        <v>0</v>
      </c>
      <c r="H10" s="15">
        <v>8</v>
      </c>
      <c r="I10" s="2">
        <v>0.2</v>
      </c>
      <c r="J10" s="15">
        <v>9</v>
      </c>
      <c r="K10" s="2">
        <v>0.22500000000000001</v>
      </c>
    </row>
    <row r="11" spans="1:11">
      <c r="A11" t="s">
        <v>5</v>
      </c>
      <c r="B11" s="15">
        <v>0</v>
      </c>
      <c r="C11" s="2">
        <v>0</v>
      </c>
      <c r="D11" s="15">
        <v>0</v>
      </c>
      <c r="E11" s="2">
        <v>0</v>
      </c>
      <c r="F11" s="15">
        <v>0</v>
      </c>
      <c r="G11" s="2">
        <v>0</v>
      </c>
      <c r="H11" s="15">
        <v>0</v>
      </c>
      <c r="I11" s="2">
        <v>0</v>
      </c>
      <c r="J11" s="15">
        <v>0</v>
      </c>
      <c r="K11" s="2">
        <v>0</v>
      </c>
    </row>
    <row r="12" spans="1:11">
      <c r="A12" t="s">
        <v>20</v>
      </c>
      <c r="B12" s="15">
        <v>1</v>
      </c>
      <c r="C12" s="2">
        <v>2.5000000000000001E-2</v>
      </c>
      <c r="D12" s="15">
        <v>2</v>
      </c>
      <c r="E12" s="2">
        <v>0.05</v>
      </c>
      <c r="F12" s="15">
        <v>0</v>
      </c>
      <c r="G12" s="2">
        <v>0</v>
      </c>
      <c r="H12" s="15">
        <v>0</v>
      </c>
      <c r="I12" s="2">
        <v>0</v>
      </c>
      <c r="J12" s="15">
        <v>3</v>
      </c>
      <c r="K12" s="2">
        <v>7.4999999999999997E-2</v>
      </c>
    </row>
    <row r="13" spans="1:11">
      <c r="A13" t="s">
        <v>21</v>
      </c>
      <c r="B13" s="15">
        <v>2</v>
      </c>
      <c r="C13" s="2">
        <v>0.05</v>
      </c>
      <c r="D13" s="15">
        <v>0</v>
      </c>
      <c r="E13" s="2">
        <v>0</v>
      </c>
      <c r="F13" s="15">
        <v>0</v>
      </c>
      <c r="G13" s="2">
        <v>0</v>
      </c>
      <c r="H13" s="15">
        <v>0</v>
      </c>
      <c r="I13" s="2">
        <v>0</v>
      </c>
      <c r="J13" s="15">
        <v>2</v>
      </c>
      <c r="K13" s="2">
        <v>0.05</v>
      </c>
    </row>
    <row r="14" spans="1:11">
      <c r="A14" t="s">
        <v>22</v>
      </c>
      <c r="B14" s="15">
        <v>1</v>
      </c>
      <c r="C14" s="2">
        <v>2.5000000000000001E-2</v>
      </c>
      <c r="D14" s="15">
        <v>0</v>
      </c>
      <c r="E14" s="2">
        <v>0</v>
      </c>
      <c r="F14" s="15">
        <v>0</v>
      </c>
      <c r="G14" s="2">
        <v>0</v>
      </c>
      <c r="H14" s="15">
        <v>1</v>
      </c>
      <c r="I14" s="2">
        <v>2.5000000000000001E-2</v>
      </c>
      <c r="J14" s="15">
        <v>2</v>
      </c>
      <c r="K14" s="2">
        <v>0.05</v>
      </c>
    </row>
    <row r="15" spans="1:11">
      <c r="A15" t="s">
        <v>23</v>
      </c>
      <c r="B15" s="15">
        <v>0</v>
      </c>
      <c r="C15" s="2">
        <v>0</v>
      </c>
      <c r="D15" s="15">
        <v>2</v>
      </c>
      <c r="E15" s="2">
        <v>0.05</v>
      </c>
      <c r="F15" s="15">
        <v>0</v>
      </c>
      <c r="G15" s="2">
        <v>0</v>
      </c>
      <c r="H15" s="15">
        <v>0</v>
      </c>
      <c r="I15" s="2">
        <v>0</v>
      </c>
      <c r="J15" s="15">
        <v>2</v>
      </c>
      <c r="K15" s="2">
        <v>0.05</v>
      </c>
    </row>
    <row r="16" spans="1:11">
      <c r="A16" t="s">
        <v>24</v>
      </c>
      <c r="B16" s="15">
        <v>1</v>
      </c>
      <c r="C16" s="2">
        <v>2.5000000000000001E-2</v>
      </c>
      <c r="D16" s="15">
        <v>2</v>
      </c>
      <c r="E16" s="2">
        <v>0.05</v>
      </c>
      <c r="F16" s="15">
        <v>0</v>
      </c>
      <c r="G16" s="2">
        <v>0</v>
      </c>
      <c r="H16" s="15">
        <v>2</v>
      </c>
      <c r="I16" s="2">
        <v>0.05</v>
      </c>
      <c r="J16" s="15">
        <v>5</v>
      </c>
      <c r="K16" s="2">
        <v>0.125</v>
      </c>
    </row>
    <row r="17" spans="1:11">
      <c r="A17" t="s">
        <v>25</v>
      </c>
      <c r="B17" s="15">
        <v>0</v>
      </c>
      <c r="C17" s="2">
        <v>0</v>
      </c>
      <c r="D17" s="15">
        <v>1</v>
      </c>
      <c r="E17" s="2">
        <v>2.5000000000000001E-2</v>
      </c>
      <c r="F17" s="15">
        <v>0</v>
      </c>
      <c r="G17" s="2">
        <v>0</v>
      </c>
      <c r="H17" s="15">
        <v>0</v>
      </c>
      <c r="I17" s="2">
        <v>0</v>
      </c>
      <c r="J17" s="15">
        <v>1</v>
      </c>
      <c r="K17" s="2">
        <v>2.5000000000000001E-2</v>
      </c>
    </row>
    <row r="18" spans="1:11">
      <c r="A18" t="s">
        <v>26</v>
      </c>
      <c r="B18" s="15">
        <v>0</v>
      </c>
      <c r="C18" s="2">
        <v>0</v>
      </c>
      <c r="D18" s="15">
        <v>0</v>
      </c>
      <c r="E18" s="2">
        <v>0</v>
      </c>
      <c r="F18" s="15">
        <v>0</v>
      </c>
      <c r="G18" s="2">
        <v>0</v>
      </c>
      <c r="H18" s="15">
        <v>1</v>
      </c>
      <c r="I18" s="2">
        <v>2.5000000000000001E-2</v>
      </c>
      <c r="J18" s="15">
        <v>1</v>
      </c>
      <c r="K18" s="2">
        <v>2.5000000000000001E-2</v>
      </c>
    </row>
    <row r="19" spans="1:11">
      <c r="A19" t="s">
        <v>27</v>
      </c>
      <c r="B19" s="15">
        <v>7</v>
      </c>
      <c r="C19" s="2">
        <v>0.17499999999999999</v>
      </c>
      <c r="D19" s="15">
        <v>15</v>
      </c>
      <c r="E19" s="2">
        <v>0.375</v>
      </c>
      <c r="F19" s="15">
        <v>0</v>
      </c>
      <c r="G19" s="2">
        <v>0</v>
      </c>
      <c r="H19" s="15">
        <v>18</v>
      </c>
      <c r="I19" s="2">
        <v>0.45</v>
      </c>
      <c r="J19" s="15">
        <v>40</v>
      </c>
      <c r="K19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44DD2-C522-4646-AA49-0846FFE38743}">
  <dimension ref="A1:C12"/>
  <sheetViews>
    <sheetView tabSelected="1" topLeftCell="D10" workbookViewId="0">
      <selection activeCell="F19" sqref="F19"/>
    </sheetView>
  </sheetViews>
  <sheetFormatPr defaultRowHeight="15"/>
  <cols>
    <col min="1" max="1" width="59.7109375" customWidth="1"/>
    <col min="2" max="2" width="9.140625" customWidth="1"/>
    <col min="3" max="3" width="8.7109375" customWidth="1"/>
    <col min="4" max="4" width="16.28515625" customWidth="1"/>
    <col min="5" max="5" width="7.7109375" customWidth="1"/>
    <col min="6" max="6" width="14.140625" bestFit="1" customWidth="1"/>
    <col min="7" max="7" width="7.7109375" bestFit="1" customWidth="1"/>
    <col min="8" max="8" width="11.85546875" bestFit="1" customWidth="1"/>
    <col min="9" max="9" width="11.140625" bestFit="1" customWidth="1"/>
    <col min="10" max="10" width="11.85546875" bestFit="1" customWidth="1"/>
    <col min="11" max="11" width="11.140625" bestFit="1" customWidth="1"/>
    <col min="12" max="12" width="15.28515625" bestFit="1" customWidth="1"/>
    <col min="13" max="13" width="7.7109375" bestFit="1" customWidth="1"/>
    <col min="14" max="14" width="14.140625" bestFit="1" customWidth="1"/>
    <col min="15" max="15" width="6.5703125" bestFit="1" customWidth="1"/>
    <col min="16" max="16" width="11.85546875" bestFit="1" customWidth="1"/>
    <col min="17" max="17" width="11.140625" bestFit="1" customWidth="1"/>
  </cols>
  <sheetData>
    <row r="1" spans="1:3">
      <c r="A1" s="11" t="s">
        <v>0</v>
      </c>
      <c r="B1" s="5">
        <f>'Stichtag-Rohdaten'!A2</f>
        <v>46044</v>
      </c>
    </row>
    <row r="2" spans="1:3">
      <c r="A2" s="11"/>
      <c r="B2" s="5"/>
    </row>
    <row r="3" spans="1:3">
      <c r="A3" s="1" t="s">
        <v>1</v>
      </c>
      <c r="B3" t="s">
        <v>3</v>
      </c>
    </row>
    <row r="5" spans="1:3">
      <c r="A5" s="1" t="s">
        <v>15</v>
      </c>
      <c r="B5" t="s">
        <v>2</v>
      </c>
      <c r="C5" t="s">
        <v>16</v>
      </c>
    </row>
    <row r="6" spans="1:3">
      <c r="A6" t="s">
        <v>17</v>
      </c>
      <c r="B6" s="15">
        <v>6</v>
      </c>
      <c r="C6" s="2">
        <v>0.24</v>
      </c>
    </row>
    <row r="7" spans="1:3">
      <c r="A7" t="s">
        <v>18</v>
      </c>
      <c r="B7" s="15">
        <v>9</v>
      </c>
      <c r="C7" s="2">
        <v>0.36</v>
      </c>
    </row>
    <row r="8" spans="1:3">
      <c r="A8" t="s">
        <v>20</v>
      </c>
      <c r="B8" s="15">
        <v>3</v>
      </c>
      <c r="C8" s="2">
        <v>0.12</v>
      </c>
    </row>
    <row r="9" spans="1:3">
      <c r="A9" t="s">
        <v>21</v>
      </c>
      <c r="B9" s="15">
        <v>1</v>
      </c>
      <c r="C9" s="2">
        <v>0.04</v>
      </c>
    </row>
    <row r="10" spans="1:3">
      <c r="A10" t="s">
        <v>23</v>
      </c>
      <c r="B10" s="15">
        <v>1</v>
      </c>
      <c r="C10" s="2">
        <v>0.04</v>
      </c>
    </row>
    <row r="11" spans="1:3">
      <c r="A11" t="s">
        <v>24</v>
      </c>
      <c r="B11" s="15">
        <v>5</v>
      </c>
      <c r="C11" s="2">
        <v>0.2</v>
      </c>
    </row>
    <row r="12" spans="1:3">
      <c r="A12" t="s">
        <v>27</v>
      </c>
      <c r="B12" s="15">
        <v>25</v>
      </c>
      <c r="C12" s="2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08B4A-A498-4604-A499-B6E0BFD05E5E}">
  <dimension ref="A1:C23"/>
  <sheetViews>
    <sheetView workbookViewId="0">
      <selection activeCell="B13" sqref="B13"/>
    </sheetView>
  </sheetViews>
  <sheetFormatPr defaultRowHeight="15"/>
  <cols>
    <col min="1" max="2" width="59.7109375" bestFit="1" customWidth="1"/>
    <col min="3" max="3" width="7.140625" bestFit="1" customWidth="1"/>
    <col min="4" max="4" width="6.28515625" bestFit="1" customWidth="1"/>
    <col min="5" max="5" width="15.85546875" bestFit="1" customWidth="1"/>
  </cols>
  <sheetData>
    <row r="1" spans="1:3">
      <c r="A1" s="11" t="s">
        <v>0</v>
      </c>
      <c r="B1" s="5">
        <f>'Stichtag-Rohdaten'!A2</f>
        <v>46044</v>
      </c>
    </row>
    <row r="3" spans="1:3">
      <c r="A3" s="1" t="s">
        <v>1</v>
      </c>
      <c r="B3" t="s">
        <v>7</v>
      </c>
    </row>
    <row r="5" spans="1:3">
      <c r="A5" s="1" t="s">
        <v>28</v>
      </c>
      <c r="B5" s="1" t="s">
        <v>15</v>
      </c>
      <c r="C5" t="s">
        <v>2</v>
      </c>
    </row>
    <row r="6" spans="1:3">
      <c r="A6" t="s">
        <v>29</v>
      </c>
      <c r="B6" t="s">
        <v>17</v>
      </c>
      <c r="C6" s="15">
        <v>6</v>
      </c>
    </row>
    <row r="7" spans="1:3">
      <c r="B7" t="s">
        <v>18</v>
      </c>
      <c r="C7" s="15">
        <v>9</v>
      </c>
    </row>
    <row r="8" spans="1:3">
      <c r="A8" t="s">
        <v>30</v>
      </c>
      <c r="C8" s="15">
        <v>15</v>
      </c>
    </row>
    <row r="9" spans="1:3">
      <c r="A9" t="s">
        <v>31</v>
      </c>
      <c r="B9" t="s">
        <v>19</v>
      </c>
      <c r="C9" s="15">
        <v>9</v>
      </c>
    </row>
    <row r="10" spans="1:3">
      <c r="A10" t="s">
        <v>32</v>
      </c>
      <c r="C10" s="15">
        <v>9</v>
      </c>
    </row>
    <row r="11" spans="1:3">
      <c r="A11" t="s">
        <v>5</v>
      </c>
      <c r="B11" t="s">
        <v>5</v>
      </c>
      <c r="C11" s="15">
        <v>0</v>
      </c>
    </row>
    <row r="12" spans="1:3">
      <c r="A12" t="s">
        <v>33</v>
      </c>
      <c r="C12" s="15">
        <v>0</v>
      </c>
    </row>
    <row r="13" spans="1:3">
      <c r="A13" t="s">
        <v>34</v>
      </c>
      <c r="B13" t="s">
        <v>20</v>
      </c>
      <c r="C13" s="15">
        <v>3</v>
      </c>
    </row>
    <row r="14" spans="1:3">
      <c r="B14" t="s">
        <v>23</v>
      </c>
      <c r="C14" s="15">
        <v>2</v>
      </c>
    </row>
    <row r="15" spans="1:3">
      <c r="B15" t="s">
        <v>24</v>
      </c>
      <c r="C15" s="15">
        <v>5</v>
      </c>
    </row>
    <row r="16" spans="1:3">
      <c r="A16" t="s">
        <v>35</v>
      </c>
      <c r="C16" s="15">
        <v>10</v>
      </c>
    </row>
    <row r="17" spans="1:3">
      <c r="A17" t="s">
        <v>36</v>
      </c>
      <c r="B17" t="s">
        <v>22</v>
      </c>
      <c r="C17" s="15">
        <v>2</v>
      </c>
    </row>
    <row r="18" spans="1:3">
      <c r="B18" t="s">
        <v>26</v>
      </c>
      <c r="C18" s="15">
        <v>1</v>
      </c>
    </row>
    <row r="19" spans="1:3">
      <c r="A19" t="s">
        <v>37</v>
      </c>
      <c r="C19" s="15">
        <v>3</v>
      </c>
    </row>
    <row r="20" spans="1:3">
      <c r="A20" t="s">
        <v>38</v>
      </c>
      <c r="B20" t="s">
        <v>21</v>
      </c>
      <c r="C20" s="15">
        <v>2</v>
      </c>
    </row>
    <row r="21" spans="1:3">
      <c r="B21" t="s">
        <v>25</v>
      </c>
      <c r="C21" s="15">
        <v>1</v>
      </c>
    </row>
    <row r="22" spans="1:3">
      <c r="A22" t="s">
        <v>39</v>
      </c>
      <c r="C22" s="15">
        <v>3</v>
      </c>
    </row>
    <row r="23" spans="1:3">
      <c r="A23" t="s">
        <v>6</v>
      </c>
      <c r="C23" s="15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876F-6286-4532-8E4F-8A2177C16677}">
  <dimension ref="A1:B12"/>
  <sheetViews>
    <sheetView workbookViewId="0">
      <selection activeCell="F28" sqref="F28"/>
    </sheetView>
  </sheetViews>
  <sheetFormatPr defaultRowHeight="15"/>
  <cols>
    <col min="1" max="1" width="44.7109375" bestFit="1" customWidth="1"/>
    <col min="2" max="2" width="15.85546875" bestFit="1" customWidth="1"/>
    <col min="3" max="3" width="7.140625" bestFit="1" customWidth="1"/>
    <col min="4" max="4" width="6.28515625" bestFit="1" customWidth="1"/>
    <col min="5" max="5" width="15.85546875" bestFit="1" customWidth="1"/>
  </cols>
  <sheetData>
    <row r="1" spans="1:2">
      <c r="A1" s="11" t="s">
        <v>0</v>
      </c>
      <c r="B1" s="5">
        <f>'Stichtag-Rohdaten'!A2</f>
        <v>46044</v>
      </c>
    </row>
    <row r="3" spans="1:2">
      <c r="A3" s="1" t="s">
        <v>1</v>
      </c>
      <c r="B3" t="s">
        <v>7</v>
      </c>
    </row>
    <row r="5" spans="1:2">
      <c r="A5" s="1" t="s">
        <v>2</v>
      </c>
      <c r="B5" t="s">
        <v>40</v>
      </c>
    </row>
    <row r="6" spans="1:2">
      <c r="A6" t="s">
        <v>34</v>
      </c>
      <c r="B6" s="15">
        <v>10</v>
      </c>
    </row>
    <row r="7" spans="1:2">
      <c r="A7" t="s">
        <v>29</v>
      </c>
      <c r="B7" s="15">
        <v>15</v>
      </c>
    </row>
    <row r="8" spans="1:2">
      <c r="A8" t="s">
        <v>36</v>
      </c>
      <c r="B8" s="15">
        <v>3</v>
      </c>
    </row>
    <row r="9" spans="1:2">
      <c r="A9" t="s">
        <v>38</v>
      </c>
      <c r="B9" s="15">
        <v>3</v>
      </c>
    </row>
    <row r="10" spans="1:2">
      <c r="A10" t="s">
        <v>31</v>
      </c>
      <c r="B10" s="15">
        <v>9</v>
      </c>
    </row>
    <row r="11" spans="1:2">
      <c r="A11" t="s">
        <v>5</v>
      </c>
      <c r="B11" s="15">
        <v>0</v>
      </c>
    </row>
    <row r="12" spans="1:2">
      <c r="A12" t="s">
        <v>6</v>
      </c>
      <c r="B12" s="15">
        <v>40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FB0A-6B39-45DA-91D2-C91EE920E685}">
  <dimension ref="A1:K17"/>
  <sheetViews>
    <sheetView workbookViewId="0">
      <selection activeCell="A3" sqref="A3"/>
    </sheetView>
  </sheetViews>
  <sheetFormatPr defaultRowHeight="15"/>
  <cols>
    <col min="1" max="1" width="40.42578125" customWidth="1"/>
    <col min="2" max="2" width="19.85546875" customWidth="1"/>
    <col min="3" max="3" width="7.7109375" customWidth="1"/>
    <col min="4" max="4" width="16.28515625" customWidth="1"/>
    <col min="5" max="5" width="7.7109375" customWidth="1"/>
    <col min="6" max="6" width="7.42578125" customWidth="1"/>
    <col min="7" max="7" width="6.5703125" customWidth="1"/>
    <col min="8" max="8" width="14.140625" bestFit="1" customWidth="1"/>
    <col min="9" max="9" width="7.7109375" bestFit="1" customWidth="1"/>
    <col min="10" max="10" width="11.85546875" bestFit="1" customWidth="1"/>
    <col min="11" max="11" width="11.140625" bestFit="1" customWidth="1"/>
    <col min="12" max="12" width="15.28515625" bestFit="1" customWidth="1"/>
    <col min="13" max="13" width="6.5703125" bestFit="1" customWidth="1"/>
    <col min="14" max="14" width="14.140625" bestFit="1" customWidth="1"/>
    <col min="15" max="15" width="6.5703125" bestFit="1" customWidth="1"/>
    <col min="16" max="16" width="11.85546875" bestFit="1" customWidth="1"/>
    <col min="17" max="17" width="11.140625" bestFit="1" customWidth="1"/>
    <col min="18" max="18" width="14.42578125" bestFit="1" customWidth="1"/>
  </cols>
  <sheetData>
    <row r="1" spans="1:11">
      <c r="A1" s="11" t="s">
        <v>0</v>
      </c>
      <c r="B1" s="5">
        <f>'Stichtag-Rohdaten'!A2</f>
        <v>46044</v>
      </c>
    </row>
    <row r="3" spans="1:11">
      <c r="A3" s="3" t="s">
        <v>1</v>
      </c>
      <c r="B3" t="s">
        <v>7</v>
      </c>
    </row>
    <row r="5" spans="1:11">
      <c r="B5" s="1" t="s">
        <v>8</v>
      </c>
      <c r="C5" s="1" t="s">
        <v>9</v>
      </c>
    </row>
    <row r="6" spans="1:11">
      <c r="B6" t="s">
        <v>10</v>
      </c>
      <c r="D6" t="s">
        <v>11</v>
      </c>
      <c r="F6" t="s">
        <v>5</v>
      </c>
      <c r="H6" t="s">
        <v>12</v>
      </c>
      <c r="J6" t="s">
        <v>13</v>
      </c>
      <c r="K6" t="s">
        <v>14</v>
      </c>
    </row>
    <row r="7" spans="1:11">
      <c r="A7" s="1" t="s">
        <v>41</v>
      </c>
      <c r="B7" t="s">
        <v>2</v>
      </c>
      <c r="C7" t="s">
        <v>16</v>
      </c>
      <c r="D7" t="s">
        <v>2</v>
      </c>
      <c r="E7" t="s">
        <v>16</v>
      </c>
      <c r="F7" t="s">
        <v>2</v>
      </c>
      <c r="G7" t="s">
        <v>16</v>
      </c>
      <c r="H7" t="s">
        <v>2</v>
      </c>
      <c r="I7" t="s">
        <v>16</v>
      </c>
    </row>
    <row r="8" spans="1:11">
      <c r="A8" t="s">
        <v>42</v>
      </c>
      <c r="B8" s="15">
        <v>3</v>
      </c>
      <c r="C8" s="2">
        <v>7.4999999999999997E-2</v>
      </c>
      <c r="D8" s="15">
        <v>9</v>
      </c>
      <c r="E8" s="2">
        <v>0.22500000000000001</v>
      </c>
      <c r="F8" s="15">
        <v>0</v>
      </c>
      <c r="G8" s="2">
        <v>0</v>
      </c>
      <c r="H8" s="15">
        <v>14</v>
      </c>
      <c r="I8" s="2">
        <v>0.35</v>
      </c>
      <c r="J8" s="15">
        <v>26</v>
      </c>
      <c r="K8" s="2">
        <v>0.65</v>
      </c>
    </row>
    <row r="9" spans="1:11">
      <c r="A9" t="s">
        <v>43</v>
      </c>
      <c r="B9" s="15">
        <v>1</v>
      </c>
      <c r="C9" s="2">
        <v>2.5000000000000001E-2</v>
      </c>
      <c r="D9" s="15">
        <v>0</v>
      </c>
      <c r="E9" s="2">
        <v>0</v>
      </c>
      <c r="F9" s="15">
        <v>0</v>
      </c>
      <c r="G9" s="2">
        <v>0</v>
      </c>
      <c r="H9" s="15">
        <v>0</v>
      </c>
      <c r="I9" s="2">
        <v>0</v>
      </c>
      <c r="J9" s="15">
        <v>1</v>
      </c>
      <c r="K9" s="2">
        <v>2.5000000000000001E-2</v>
      </c>
    </row>
    <row r="10" spans="1:11">
      <c r="A10" t="s">
        <v>44</v>
      </c>
      <c r="B10" s="15">
        <v>1</v>
      </c>
      <c r="C10" s="2">
        <v>2.5000000000000001E-2</v>
      </c>
      <c r="D10" s="15">
        <v>2</v>
      </c>
      <c r="E10" s="2">
        <v>0.05</v>
      </c>
      <c r="F10" s="15">
        <v>0</v>
      </c>
      <c r="G10" s="2">
        <v>0</v>
      </c>
      <c r="H10" s="15">
        <v>4</v>
      </c>
      <c r="I10" s="2">
        <v>0.1</v>
      </c>
      <c r="J10" s="15">
        <v>7</v>
      </c>
      <c r="K10" s="2">
        <v>0.17499999999999999</v>
      </c>
    </row>
    <row r="11" spans="1:11">
      <c r="A11" t="s">
        <v>5</v>
      </c>
      <c r="B11" s="15">
        <v>0</v>
      </c>
      <c r="C11" s="2">
        <v>0</v>
      </c>
      <c r="D11" s="15">
        <v>0</v>
      </c>
      <c r="E11" s="2">
        <v>0</v>
      </c>
      <c r="F11" s="15">
        <v>0</v>
      </c>
      <c r="G11" s="2">
        <v>0</v>
      </c>
      <c r="H11" s="15">
        <v>0</v>
      </c>
      <c r="I11" s="2">
        <v>0</v>
      </c>
      <c r="J11" s="15">
        <v>0</v>
      </c>
      <c r="K11" s="2">
        <v>0</v>
      </c>
    </row>
    <row r="12" spans="1:11">
      <c r="A12" t="s">
        <v>45</v>
      </c>
      <c r="B12" s="15">
        <v>0</v>
      </c>
      <c r="C12" s="2">
        <v>0</v>
      </c>
      <c r="D12" s="15">
        <v>1</v>
      </c>
      <c r="E12" s="2">
        <v>2.5000000000000001E-2</v>
      </c>
      <c r="F12" s="15">
        <v>0</v>
      </c>
      <c r="G12" s="2">
        <v>0</v>
      </c>
      <c r="H12" s="15">
        <v>0</v>
      </c>
      <c r="I12" s="2">
        <v>0</v>
      </c>
      <c r="J12" s="15">
        <v>1</v>
      </c>
      <c r="K12" s="2">
        <v>2.5000000000000001E-2</v>
      </c>
    </row>
    <row r="13" spans="1:11">
      <c r="A13" t="s">
        <v>46</v>
      </c>
      <c r="B13" s="15">
        <v>1</v>
      </c>
      <c r="C13" s="2">
        <v>2.5000000000000001E-2</v>
      </c>
      <c r="D13" s="15">
        <v>0</v>
      </c>
      <c r="E13" s="2">
        <v>0</v>
      </c>
      <c r="F13" s="15">
        <v>0</v>
      </c>
      <c r="G13" s="2">
        <v>0</v>
      </c>
      <c r="H13" s="15">
        <v>0</v>
      </c>
      <c r="I13" s="2">
        <v>0</v>
      </c>
      <c r="J13" s="15">
        <v>1</v>
      </c>
      <c r="K13" s="2">
        <v>2.5000000000000001E-2</v>
      </c>
    </row>
    <row r="14" spans="1:11">
      <c r="A14" t="s">
        <v>47</v>
      </c>
      <c r="B14" s="15">
        <v>0</v>
      </c>
      <c r="C14" s="2">
        <v>0</v>
      </c>
      <c r="D14" s="15">
        <v>1</v>
      </c>
      <c r="E14" s="2">
        <v>2.5000000000000001E-2</v>
      </c>
      <c r="F14" s="15">
        <v>0</v>
      </c>
      <c r="G14" s="2">
        <v>0</v>
      </c>
      <c r="H14" s="15">
        <v>0</v>
      </c>
      <c r="I14" s="2">
        <v>0</v>
      </c>
      <c r="J14" s="15">
        <v>1</v>
      </c>
      <c r="K14" s="2">
        <v>2.5000000000000001E-2</v>
      </c>
    </row>
    <row r="15" spans="1:11">
      <c r="A15" t="s">
        <v>48</v>
      </c>
      <c r="B15" s="15">
        <v>1</v>
      </c>
      <c r="C15" s="2">
        <v>2.5000000000000001E-2</v>
      </c>
      <c r="D15" s="15">
        <v>1</v>
      </c>
      <c r="E15" s="2">
        <v>2.5000000000000001E-2</v>
      </c>
      <c r="F15" s="15">
        <v>0</v>
      </c>
      <c r="G15" s="2">
        <v>0</v>
      </c>
      <c r="H15" s="15">
        <v>0</v>
      </c>
      <c r="I15" s="2">
        <v>0</v>
      </c>
      <c r="J15" s="15">
        <v>2</v>
      </c>
      <c r="K15" s="2">
        <v>0.05</v>
      </c>
    </row>
    <row r="16" spans="1:11">
      <c r="A16" t="s">
        <v>49</v>
      </c>
      <c r="B16" s="15">
        <v>0</v>
      </c>
      <c r="C16" s="2">
        <v>0</v>
      </c>
      <c r="D16" s="15">
        <v>1</v>
      </c>
      <c r="E16" s="2">
        <v>2.5000000000000001E-2</v>
      </c>
      <c r="F16" s="15">
        <v>0</v>
      </c>
      <c r="G16" s="2">
        <v>0</v>
      </c>
      <c r="H16" s="15">
        <v>0</v>
      </c>
      <c r="I16" s="2">
        <v>0</v>
      </c>
      <c r="J16" s="15">
        <v>1</v>
      </c>
      <c r="K16" s="2">
        <v>2.5000000000000001E-2</v>
      </c>
    </row>
    <row r="17" spans="1:11">
      <c r="A17" t="s">
        <v>27</v>
      </c>
      <c r="B17" s="15">
        <v>7</v>
      </c>
      <c r="C17" s="2">
        <v>0.17499999999999999</v>
      </c>
      <c r="D17" s="15">
        <v>15</v>
      </c>
      <c r="E17" s="2">
        <v>0.375</v>
      </c>
      <c r="F17" s="15">
        <v>0</v>
      </c>
      <c r="G17" s="2">
        <v>0</v>
      </c>
      <c r="H17" s="15">
        <v>18</v>
      </c>
      <c r="I17" s="2">
        <v>0.45</v>
      </c>
      <c r="J17" s="15">
        <v>40</v>
      </c>
      <c r="K17" s="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2DE2-5C4B-4636-BE21-0A470EA018A6}">
  <dimension ref="A1:G14"/>
  <sheetViews>
    <sheetView workbookViewId="0">
      <selection activeCell="A22" sqref="A22"/>
    </sheetView>
  </sheetViews>
  <sheetFormatPr defaultRowHeight="15"/>
  <cols>
    <col min="1" max="1" width="37.42578125" bestFit="1" customWidth="1"/>
    <col min="2" max="2" width="19.85546875" bestFit="1" customWidth="1"/>
    <col min="3" max="3" width="7.7109375" bestFit="1" customWidth="1"/>
    <col min="4" max="4" width="16.28515625" bestFit="1" customWidth="1"/>
    <col min="5" max="5" width="7.7109375" bestFit="1" customWidth="1"/>
    <col min="6" max="6" width="11.85546875" bestFit="1" customWidth="1"/>
    <col min="7" max="7" width="11.140625" bestFit="1" customWidth="1"/>
    <col min="8" max="8" width="15.140625" bestFit="1" customWidth="1"/>
    <col min="9" max="9" width="14.42578125" bestFit="1" customWidth="1"/>
  </cols>
  <sheetData>
    <row r="1" spans="1:7">
      <c r="A1" s="11" t="s">
        <v>0</v>
      </c>
      <c r="B1" s="5">
        <f>'Stichtag-Rohdaten'!A2</f>
        <v>46044</v>
      </c>
    </row>
    <row r="3" spans="1:7">
      <c r="A3" s="3" t="s">
        <v>1</v>
      </c>
      <c r="B3" t="s">
        <v>7</v>
      </c>
    </row>
    <row r="5" spans="1:7">
      <c r="B5" s="1" t="s">
        <v>8</v>
      </c>
      <c r="C5" s="1" t="s">
        <v>9</v>
      </c>
    </row>
    <row r="6" spans="1:7">
      <c r="B6" t="s">
        <v>10</v>
      </c>
      <c r="D6" t="s">
        <v>11</v>
      </c>
      <c r="F6" t="s">
        <v>13</v>
      </c>
      <c r="G6" t="s">
        <v>14</v>
      </c>
    </row>
    <row r="7" spans="1:7">
      <c r="A7" s="1" t="s">
        <v>50</v>
      </c>
      <c r="B7" t="s">
        <v>2</v>
      </c>
      <c r="C7" t="s">
        <v>16</v>
      </c>
      <c r="D7" t="s">
        <v>2</v>
      </c>
      <c r="E7" t="s">
        <v>16</v>
      </c>
    </row>
    <row r="8" spans="1:7">
      <c r="A8" t="s">
        <v>51</v>
      </c>
      <c r="B8" s="15">
        <v>2</v>
      </c>
      <c r="C8" s="2">
        <v>9.0909090909090912E-2</v>
      </c>
      <c r="D8" s="15">
        <v>2</v>
      </c>
      <c r="E8" s="2">
        <v>9.0909090909090912E-2</v>
      </c>
      <c r="F8" s="15">
        <v>4</v>
      </c>
      <c r="G8" s="2">
        <v>0.18181818181818182</v>
      </c>
    </row>
    <row r="9" spans="1:7">
      <c r="A9" t="s">
        <v>52</v>
      </c>
      <c r="B9" s="15">
        <v>0</v>
      </c>
      <c r="C9" s="2">
        <v>0</v>
      </c>
      <c r="D9" s="15">
        <v>1</v>
      </c>
      <c r="E9" s="2">
        <v>4.5454545454545456E-2</v>
      </c>
      <c r="F9" s="15">
        <v>1</v>
      </c>
      <c r="G9" s="2">
        <v>4.5454545454545456E-2</v>
      </c>
    </row>
    <row r="10" spans="1:7">
      <c r="A10" t="s">
        <v>53</v>
      </c>
      <c r="B10" s="15">
        <v>3</v>
      </c>
      <c r="C10" s="2">
        <v>0.13636363636363635</v>
      </c>
      <c r="D10" s="15">
        <v>8</v>
      </c>
      <c r="E10" s="2">
        <v>0.36363636363636365</v>
      </c>
      <c r="F10" s="15">
        <v>11</v>
      </c>
      <c r="G10" s="2">
        <v>0.5</v>
      </c>
    </row>
    <row r="11" spans="1:7">
      <c r="A11" t="s">
        <v>54</v>
      </c>
      <c r="B11" s="15">
        <v>2</v>
      </c>
      <c r="C11" s="2">
        <v>9.0909090909090912E-2</v>
      </c>
      <c r="D11" s="15">
        <v>1</v>
      </c>
      <c r="E11" s="2">
        <v>4.5454545454545456E-2</v>
      </c>
      <c r="F11" s="15">
        <v>3</v>
      </c>
      <c r="G11" s="2">
        <v>0.13636363636363635</v>
      </c>
    </row>
    <row r="12" spans="1:7">
      <c r="A12" t="s">
        <v>55</v>
      </c>
      <c r="B12" s="15">
        <v>0</v>
      </c>
      <c r="C12" s="2">
        <v>0</v>
      </c>
      <c r="D12" s="15">
        <v>2</v>
      </c>
      <c r="E12" s="2">
        <v>9.0909090909090912E-2</v>
      </c>
      <c r="F12" s="15">
        <v>2</v>
      </c>
      <c r="G12" s="2">
        <v>9.0909090909090912E-2</v>
      </c>
    </row>
    <row r="13" spans="1:7">
      <c r="A13" t="s">
        <v>56</v>
      </c>
      <c r="B13" s="15">
        <v>0</v>
      </c>
      <c r="C13" s="2">
        <v>0</v>
      </c>
      <c r="D13" s="15">
        <v>1</v>
      </c>
      <c r="E13" s="2">
        <v>4.5454545454545456E-2</v>
      </c>
      <c r="F13" s="15">
        <v>1</v>
      </c>
      <c r="G13" s="2">
        <v>4.5454545454545456E-2</v>
      </c>
    </row>
    <row r="14" spans="1:7">
      <c r="A14" t="s">
        <v>6</v>
      </c>
      <c r="B14" s="15">
        <v>7</v>
      </c>
      <c r="C14" s="2">
        <v>0.31818181818181818</v>
      </c>
      <c r="D14" s="15">
        <v>15</v>
      </c>
      <c r="E14" s="2">
        <v>0.68181818181818177</v>
      </c>
      <c r="F14" s="15">
        <v>22</v>
      </c>
      <c r="G14" s="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93D8-477A-4194-B4A6-5D67E846D11F}">
  <dimension ref="A1:M41"/>
  <sheetViews>
    <sheetView topLeftCell="B1" workbookViewId="0">
      <selection activeCell="B2" sqref="B2"/>
    </sheetView>
  </sheetViews>
  <sheetFormatPr defaultRowHeight="15"/>
  <cols>
    <col min="3" max="3" width="8.7109375" bestFit="1" customWidth="1"/>
    <col min="4" max="4" width="19.7109375" bestFit="1" customWidth="1"/>
    <col min="5" max="5" width="59.7109375" bestFit="1" customWidth="1"/>
    <col min="6" max="6" width="18.85546875" customWidth="1"/>
    <col min="7" max="7" width="29.42578125" customWidth="1"/>
    <col min="8" max="8" width="16.7109375" bestFit="1" customWidth="1"/>
    <col min="9" max="9" width="43.28515625" bestFit="1" customWidth="1"/>
    <col min="10" max="10" width="16.28515625" bestFit="1" customWidth="1"/>
    <col min="11" max="11" width="37.42578125" bestFit="1" customWidth="1"/>
    <col min="12" max="12" width="10.85546875" bestFit="1" customWidth="1"/>
    <col min="13" max="13" width="19.140625" bestFit="1" customWidth="1"/>
  </cols>
  <sheetData>
    <row r="1" spans="1:13" s="4" customFormat="1">
      <c r="A1" s="7" t="s">
        <v>57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62</v>
      </c>
      <c r="G1" s="8" t="s">
        <v>63</v>
      </c>
      <c r="H1" s="8" t="s">
        <v>64</v>
      </c>
      <c r="I1" s="8" t="s">
        <v>65</v>
      </c>
      <c r="J1" s="8" t="s">
        <v>66</v>
      </c>
      <c r="K1" s="8" t="s">
        <v>67</v>
      </c>
      <c r="L1" s="8" t="s">
        <v>68</v>
      </c>
      <c r="M1" s="8" t="s">
        <v>69</v>
      </c>
    </row>
    <row r="2" spans="1:13">
      <c r="A2" s="13">
        <v>7025102</v>
      </c>
      <c r="B2" s="13" t="s">
        <v>70</v>
      </c>
      <c r="C2" s="13" t="s">
        <v>3</v>
      </c>
      <c r="D2" s="13">
        <v>2</v>
      </c>
      <c r="E2" s="13" t="s">
        <v>17</v>
      </c>
      <c r="F2" s="13">
        <v>3</v>
      </c>
      <c r="G2" s="13" t="s">
        <v>29</v>
      </c>
      <c r="H2" s="13" t="s">
        <v>71</v>
      </c>
      <c r="I2" s="13" t="s">
        <v>42</v>
      </c>
      <c r="J2" s="13">
        <v>30</v>
      </c>
      <c r="K2" s="13" t="s">
        <v>54</v>
      </c>
      <c r="L2" s="13">
        <v>1</v>
      </c>
      <c r="M2" s="13" t="s">
        <v>10</v>
      </c>
    </row>
    <row r="3" spans="1:13">
      <c r="A3" s="13">
        <v>7025096</v>
      </c>
      <c r="B3" s="13" t="s">
        <v>72</v>
      </c>
      <c r="C3" s="13" t="s">
        <v>3</v>
      </c>
      <c r="D3" s="13">
        <v>2</v>
      </c>
      <c r="E3" s="13" t="s">
        <v>17</v>
      </c>
      <c r="F3" s="13">
        <v>3</v>
      </c>
      <c r="G3" s="13" t="s">
        <v>29</v>
      </c>
      <c r="H3" s="13" t="s">
        <v>71</v>
      </c>
      <c r="I3" s="13" t="s">
        <v>42</v>
      </c>
      <c r="J3" s="13">
        <v>30</v>
      </c>
      <c r="K3" s="13" t="s">
        <v>54</v>
      </c>
      <c r="L3" s="13">
        <v>1</v>
      </c>
      <c r="M3" s="13" t="s">
        <v>10</v>
      </c>
    </row>
    <row r="4" spans="1:13">
      <c r="A4" s="13">
        <v>7025084</v>
      </c>
      <c r="B4" s="13" t="s">
        <v>73</v>
      </c>
      <c r="C4" s="13" t="s">
        <v>3</v>
      </c>
      <c r="D4" s="13">
        <v>2</v>
      </c>
      <c r="E4" s="13" t="s">
        <v>17</v>
      </c>
      <c r="F4" s="13">
        <v>3</v>
      </c>
      <c r="G4" s="13" t="s">
        <v>29</v>
      </c>
      <c r="H4" s="13" t="s">
        <v>71</v>
      </c>
      <c r="I4" s="13" t="s">
        <v>42</v>
      </c>
      <c r="J4" s="13">
        <v>30</v>
      </c>
      <c r="K4" s="13" t="s">
        <v>54</v>
      </c>
      <c r="L4" s="13">
        <v>3</v>
      </c>
      <c r="M4" s="13" t="s">
        <v>12</v>
      </c>
    </row>
    <row r="5" spans="1:13">
      <c r="A5" s="13">
        <v>7020328</v>
      </c>
      <c r="B5" s="13" t="s">
        <v>74</v>
      </c>
      <c r="C5" s="13" t="s">
        <v>3</v>
      </c>
      <c r="D5" s="13">
        <v>2</v>
      </c>
      <c r="E5" s="13" t="s">
        <v>17</v>
      </c>
      <c r="F5" s="13">
        <v>3</v>
      </c>
      <c r="G5" s="13" t="s">
        <v>29</v>
      </c>
      <c r="H5" s="13" t="s">
        <v>71</v>
      </c>
      <c r="I5" s="13" t="s">
        <v>42</v>
      </c>
      <c r="J5" s="13">
        <v>30</v>
      </c>
      <c r="K5" s="13" t="s">
        <v>54</v>
      </c>
      <c r="L5" s="13">
        <v>3</v>
      </c>
      <c r="M5" s="13" t="s">
        <v>12</v>
      </c>
    </row>
    <row r="6" spans="1:13">
      <c r="A6" s="13">
        <v>7022115</v>
      </c>
      <c r="B6" s="13" t="s">
        <v>75</v>
      </c>
      <c r="C6" s="13" t="s">
        <v>3</v>
      </c>
      <c r="D6" s="13">
        <v>2</v>
      </c>
      <c r="E6" s="13" t="s">
        <v>17</v>
      </c>
      <c r="F6" s="13">
        <v>3</v>
      </c>
      <c r="G6" s="13" t="s">
        <v>29</v>
      </c>
      <c r="H6" s="13" t="s">
        <v>71</v>
      </c>
      <c r="I6" s="13" t="s">
        <v>42</v>
      </c>
      <c r="J6" s="13">
        <v>1</v>
      </c>
      <c r="K6" s="13" t="s">
        <v>52</v>
      </c>
      <c r="L6" s="13">
        <v>3</v>
      </c>
      <c r="M6" s="13" t="s">
        <v>12</v>
      </c>
    </row>
    <row r="7" spans="1:13">
      <c r="A7" s="13">
        <v>7008251</v>
      </c>
      <c r="B7" s="13" t="s">
        <v>76</v>
      </c>
      <c r="C7" s="13" t="s">
        <v>3</v>
      </c>
      <c r="D7" s="13">
        <v>2</v>
      </c>
      <c r="E7" s="13" t="s">
        <v>17</v>
      </c>
      <c r="F7" s="13">
        <v>3</v>
      </c>
      <c r="G7" s="13" t="s">
        <v>29</v>
      </c>
      <c r="H7" s="13" t="s">
        <v>71</v>
      </c>
      <c r="I7" s="13" t="s">
        <v>42</v>
      </c>
      <c r="J7" s="13">
        <v>1</v>
      </c>
      <c r="K7" s="13" t="s">
        <v>52</v>
      </c>
      <c r="L7" s="13">
        <v>3</v>
      </c>
      <c r="M7" s="13" t="s">
        <v>12</v>
      </c>
    </row>
    <row r="8" spans="1:13">
      <c r="A8" s="13">
        <v>7024738</v>
      </c>
      <c r="B8" s="13" t="s">
        <v>77</v>
      </c>
      <c r="C8" s="13" t="s">
        <v>3</v>
      </c>
      <c r="D8" s="13" t="s">
        <v>78</v>
      </c>
      <c r="E8" s="13" t="s">
        <v>23</v>
      </c>
      <c r="F8" s="13">
        <v>4</v>
      </c>
      <c r="G8" s="13" t="s">
        <v>34</v>
      </c>
      <c r="H8" s="13" t="s">
        <v>79</v>
      </c>
      <c r="I8" s="13" t="s">
        <v>44</v>
      </c>
      <c r="J8" s="13">
        <v>5</v>
      </c>
      <c r="K8" s="13" t="s">
        <v>53</v>
      </c>
      <c r="L8" s="13">
        <v>2</v>
      </c>
      <c r="M8" s="13" t="s">
        <v>11</v>
      </c>
    </row>
    <row r="9" spans="1:13">
      <c r="A9" s="13">
        <v>7024735</v>
      </c>
      <c r="B9" s="13" t="s">
        <v>80</v>
      </c>
      <c r="C9" s="13" t="s">
        <v>4</v>
      </c>
      <c r="D9" s="13" t="s">
        <v>78</v>
      </c>
      <c r="E9" s="13" t="s">
        <v>23</v>
      </c>
      <c r="F9" s="13">
        <v>4</v>
      </c>
      <c r="G9" s="13" t="s">
        <v>34</v>
      </c>
      <c r="H9" s="13" t="s">
        <v>71</v>
      </c>
      <c r="I9" s="13" t="s">
        <v>42</v>
      </c>
      <c r="J9" s="13">
        <v>5</v>
      </c>
      <c r="K9" s="13" t="s">
        <v>53</v>
      </c>
      <c r="L9" s="13">
        <v>2</v>
      </c>
      <c r="M9" s="13" t="s">
        <v>11</v>
      </c>
    </row>
    <row r="10" spans="1:13">
      <c r="A10" s="13">
        <v>7024739</v>
      </c>
      <c r="B10" s="13" t="s">
        <v>81</v>
      </c>
      <c r="C10" s="13" t="s">
        <v>3</v>
      </c>
      <c r="D10" s="13" t="s">
        <v>82</v>
      </c>
      <c r="E10" s="13" t="s">
        <v>24</v>
      </c>
      <c r="F10" s="13">
        <v>4</v>
      </c>
      <c r="G10" s="13" t="s">
        <v>34</v>
      </c>
      <c r="H10" s="13" t="s">
        <v>71</v>
      </c>
      <c r="I10" s="13" t="s">
        <v>42</v>
      </c>
      <c r="J10" s="13">
        <v>1</v>
      </c>
      <c r="K10" s="13" t="s">
        <v>52</v>
      </c>
      <c r="L10" s="13">
        <v>2</v>
      </c>
      <c r="M10" s="13" t="s">
        <v>11</v>
      </c>
    </row>
    <row r="11" spans="1:13">
      <c r="A11" s="13">
        <v>7025101</v>
      </c>
      <c r="B11" s="13" t="s">
        <v>83</v>
      </c>
      <c r="C11" s="13" t="s">
        <v>3</v>
      </c>
      <c r="D11" s="13" t="s">
        <v>82</v>
      </c>
      <c r="E11" s="13" t="s">
        <v>24</v>
      </c>
      <c r="F11" s="13">
        <v>4</v>
      </c>
      <c r="G11" s="13" t="s">
        <v>34</v>
      </c>
      <c r="H11" s="13" t="s">
        <v>71</v>
      </c>
      <c r="I11" s="13" t="s">
        <v>42</v>
      </c>
      <c r="J11" s="13">
        <v>30</v>
      </c>
      <c r="K11" s="13" t="s">
        <v>54</v>
      </c>
      <c r="L11" s="13">
        <v>2</v>
      </c>
      <c r="M11" s="13" t="s">
        <v>11</v>
      </c>
    </row>
    <row r="12" spans="1:13">
      <c r="A12" s="13">
        <v>7025054</v>
      </c>
      <c r="B12" s="13" t="s">
        <v>84</v>
      </c>
      <c r="C12" s="13" t="s">
        <v>3</v>
      </c>
      <c r="D12" s="13" t="s">
        <v>82</v>
      </c>
      <c r="E12" s="13" t="s">
        <v>24</v>
      </c>
      <c r="F12" s="13">
        <v>4</v>
      </c>
      <c r="G12" s="13" t="s">
        <v>34</v>
      </c>
      <c r="H12" s="13" t="s">
        <v>79</v>
      </c>
      <c r="I12" s="13" t="s">
        <v>44</v>
      </c>
      <c r="J12" s="13">
        <v>3</v>
      </c>
      <c r="K12" s="13" t="s">
        <v>51</v>
      </c>
      <c r="L12" s="13">
        <v>1</v>
      </c>
      <c r="M12" s="13" t="s">
        <v>10</v>
      </c>
    </row>
    <row r="13" spans="1:13">
      <c r="A13" s="13">
        <v>7025006</v>
      </c>
      <c r="B13" s="13" t="s">
        <v>85</v>
      </c>
      <c r="C13" s="13" t="s">
        <v>3</v>
      </c>
      <c r="D13" s="13" t="s">
        <v>82</v>
      </c>
      <c r="E13" s="13" t="s">
        <v>24</v>
      </c>
      <c r="F13" s="13">
        <v>4</v>
      </c>
      <c r="G13" s="13" t="s">
        <v>34</v>
      </c>
      <c r="H13" s="13" t="s">
        <v>79</v>
      </c>
      <c r="I13" s="13" t="s">
        <v>44</v>
      </c>
      <c r="J13" s="13">
        <v>14</v>
      </c>
      <c r="K13" s="13" t="s">
        <v>86</v>
      </c>
      <c r="L13" s="13">
        <v>3</v>
      </c>
      <c r="M13" s="13" t="s">
        <v>12</v>
      </c>
    </row>
    <row r="14" spans="1:13">
      <c r="A14" s="13">
        <v>7022964</v>
      </c>
      <c r="B14" s="13" t="s">
        <v>87</v>
      </c>
      <c r="C14" s="13" t="s">
        <v>3</v>
      </c>
      <c r="D14" s="13" t="s">
        <v>82</v>
      </c>
      <c r="E14" s="13" t="s">
        <v>24</v>
      </c>
      <c r="F14" s="13">
        <v>4</v>
      </c>
      <c r="G14" s="13" t="s">
        <v>34</v>
      </c>
      <c r="H14" s="13" t="s">
        <v>71</v>
      </c>
      <c r="I14" s="13" t="s">
        <v>42</v>
      </c>
      <c r="J14" s="13">
        <v>26</v>
      </c>
      <c r="K14" s="13" t="s">
        <v>56</v>
      </c>
      <c r="L14" s="13">
        <v>3</v>
      </c>
      <c r="M14" s="13" t="s">
        <v>12</v>
      </c>
    </row>
    <row r="15" spans="1:13">
      <c r="A15" s="13">
        <v>7024845</v>
      </c>
      <c r="B15" s="13" t="s">
        <v>88</v>
      </c>
      <c r="C15" s="13" t="s">
        <v>3</v>
      </c>
      <c r="D15" s="13">
        <v>3</v>
      </c>
      <c r="E15" s="13" t="s">
        <v>20</v>
      </c>
      <c r="F15" s="13">
        <v>4</v>
      </c>
      <c r="G15" s="13" t="s">
        <v>34</v>
      </c>
      <c r="H15" s="13" t="s">
        <v>89</v>
      </c>
      <c r="I15" s="13" t="s">
        <v>46</v>
      </c>
      <c r="J15" s="13">
        <v>5</v>
      </c>
      <c r="K15" s="13" t="s">
        <v>53</v>
      </c>
      <c r="L15" s="13">
        <v>1</v>
      </c>
      <c r="M15" s="13" t="s">
        <v>10</v>
      </c>
    </row>
    <row r="16" spans="1:13">
      <c r="A16" s="13">
        <v>7024653</v>
      </c>
      <c r="B16" s="13" t="s">
        <v>90</v>
      </c>
      <c r="C16" s="13" t="s">
        <v>3</v>
      </c>
      <c r="D16" s="13">
        <v>3</v>
      </c>
      <c r="E16" s="13" t="s">
        <v>20</v>
      </c>
      <c r="F16" s="13">
        <v>4</v>
      </c>
      <c r="G16" s="13" t="s">
        <v>34</v>
      </c>
      <c r="H16" s="13" t="s">
        <v>91</v>
      </c>
      <c r="I16" s="13" t="s">
        <v>47</v>
      </c>
      <c r="J16" s="13">
        <v>4</v>
      </c>
      <c r="K16" s="13" t="s">
        <v>55</v>
      </c>
      <c r="L16" s="13">
        <v>2</v>
      </c>
      <c r="M16" s="13" t="s">
        <v>11</v>
      </c>
    </row>
    <row r="17" spans="1:13">
      <c r="A17" s="13">
        <v>7024597</v>
      </c>
      <c r="B17" s="13" t="s">
        <v>92</v>
      </c>
      <c r="C17" s="13" t="s">
        <v>3</v>
      </c>
      <c r="D17" s="13">
        <v>3</v>
      </c>
      <c r="E17" s="13" t="s">
        <v>20</v>
      </c>
      <c r="F17" s="13">
        <v>4</v>
      </c>
      <c r="G17" s="13" t="s">
        <v>34</v>
      </c>
      <c r="H17" s="13" t="s">
        <v>71</v>
      </c>
      <c r="I17" s="13" t="s">
        <v>42</v>
      </c>
      <c r="J17" s="13">
        <v>4</v>
      </c>
      <c r="K17" s="13" t="s">
        <v>55</v>
      </c>
      <c r="L17" s="13">
        <v>2</v>
      </c>
      <c r="M17" s="13" t="s">
        <v>11</v>
      </c>
    </row>
    <row r="18" spans="1:13">
      <c r="A18" s="13">
        <v>7024890</v>
      </c>
      <c r="B18" s="13" t="s">
        <v>93</v>
      </c>
      <c r="C18" s="13" t="s">
        <v>3</v>
      </c>
      <c r="D18" s="13" t="s">
        <v>94</v>
      </c>
      <c r="E18" s="13" t="s">
        <v>21</v>
      </c>
      <c r="F18" s="13" t="s">
        <v>95</v>
      </c>
      <c r="G18" s="13" t="s">
        <v>38</v>
      </c>
      <c r="H18" s="13" t="s">
        <v>96</v>
      </c>
      <c r="I18" s="13" t="s">
        <v>48</v>
      </c>
      <c r="J18" s="13">
        <v>5</v>
      </c>
      <c r="K18" s="13" t="s">
        <v>53</v>
      </c>
      <c r="L18" s="13">
        <v>1</v>
      </c>
      <c r="M18" s="13" t="s">
        <v>10</v>
      </c>
    </row>
    <row r="19" spans="1:13">
      <c r="A19" s="13">
        <v>7025016</v>
      </c>
      <c r="B19" s="13" t="s">
        <v>97</v>
      </c>
      <c r="C19" s="13" t="s">
        <v>4</v>
      </c>
      <c r="D19" s="13" t="s">
        <v>94</v>
      </c>
      <c r="E19" s="13" t="s">
        <v>21</v>
      </c>
      <c r="F19" s="13" t="s">
        <v>95</v>
      </c>
      <c r="G19" s="13" t="s">
        <v>38</v>
      </c>
      <c r="H19" s="13" t="s">
        <v>71</v>
      </c>
      <c r="I19" s="13" t="s">
        <v>42</v>
      </c>
      <c r="J19" s="13">
        <v>5</v>
      </c>
      <c r="K19" s="13" t="s">
        <v>53</v>
      </c>
      <c r="L19" s="13">
        <v>1</v>
      </c>
      <c r="M19" s="13" t="s">
        <v>10</v>
      </c>
    </row>
    <row r="20" spans="1:13">
      <c r="A20" s="13">
        <v>7024970</v>
      </c>
      <c r="B20" s="13" t="s">
        <v>98</v>
      </c>
      <c r="C20" s="13" t="s">
        <v>3</v>
      </c>
      <c r="D20" s="13" t="s">
        <v>94</v>
      </c>
      <c r="E20" s="13" t="s">
        <v>18</v>
      </c>
      <c r="F20" s="13">
        <v>3</v>
      </c>
      <c r="G20" s="13" t="s">
        <v>29</v>
      </c>
      <c r="H20" s="13" t="s">
        <v>71</v>
      </c>
      <c r="I20" s="13" t="s">
        <v>42</v>
      </c>
      <c r="J20" s="13">
        <v>5</v>
      </c>
      <c r="K20" s="13" t="s">
        <v>53</v>
      </c>
      <c r="L20" s="13">
        <v>3</v>
      </c>
      <c r="M20" s="13" t="s">
        <v>12</v>
      </c>
    </row>
    <row r="21" spans="1:13">
      <c r="A21" s="13">
        <v>7024925</v>
      </c>
      <c r="B21" s="13" t="s">
        <v>99</v>
      </c>
      <c r="C21" s="13" t="s">
        <v>3</v>
      </c>
      <c r="D21" s="13" t="s">
        <v>94</v>
      </c>
      <c r="E21" s="13" t="s">
        <v>18</v>
      </c>
      <c r="F21" s="13">
        <v>3</v>
      </c>
      <c r="G21" s="13" t="s">
        <v>29</v>
      </c>
      <c r="H21" s="13" t="s">
        <v>71</v>
      </c>
      <c r="I21" s="13" t="s">
        <v>42</v>
      </c>
      <c r="J21" s="13">
        <v>5</v>
      </c>
      <c r="K21" s="13" t="s">
        <v>53</v>
      </c>
      <c r="L21" s="13">
        <v>2</v>
      </c>
      <c r="M21" s="13" t="s">
        <v>11</v>
      </c>
    </row>
    <row r="22" spans="1:13">
      <c r="A22" s="13">
        <v>7024821</v>
      </c>
      <c r="B22" s="13" t="s">
        <v>100</v>
      </c>
      <c r="C22" s="13" t="s">
        <v>3</v>
      </c>
      <c r="D22" s="13" t="s">
        <v>94</v>
      </c>
      <c r="E22" s="13" t="s">
        <v>18</v>
      </c>
      <c r="F22" s="13">
        <v>3</v>
      </c>
      <c r="G22" s="13" t="s">
        <v>29</v>
      </c>
      <c r="H22" s="13" t="s">
        <v>71</v>
      </c>
      <c r="I22" s="13" t="s">
        <v>42</v>
      </c>
      <c r="J22" s="13">
        <v>5</v>
      </c>
      <c r="K22" s="13" t="s">
        <v>53</v>
      </c>
      <c r="L22" s="13">
        <v>2</v>
      </c>
      <c r="M22" s="13" t="s">
        <v>11</v>
      </c>
    </row>
    <row r="23" spans="1:13">
      <c r="A23" s="13">
        <v>7024820</v>
      </c>
      <c r="B23" s="13" t="s">
        <v>101</v>
      </c>
      <c r="C23" s="13" t="s">
        <v>3</v>
      </c>
      <c r="D23" s="13" t="s">
        <v>94</v>
      </c>
      <c r="E23" s="13" t="s">
        <v>18</v>
      </c>
      <c r="F23" s="13">
        <v>3</v>
      </c>
      <c r="G23" s="13" t="s">
        <v>29</v>
      </c>
      <c r="H23" s="13" t="s">
        <v>71</v>
      </c>
      <c r="I23" s="13" t="s">
        <v>42</v>
      </c>
      <c r="J23" s="13">
        <v>5</v>
      </c>
      <c r="K23" s="13" t="s">
        <v>53</v>
      </c>
      <c r="L23" s="13">
        <v>2</v>
      </c>
      <c r="M23" s="13" t="s">
        <v>11</v>
      </c>
    </row>
    <row r="24" spans="1:13">
      <c r="A24" s="13">
        <v>7024792</v>
      </c>
      <c r="B24" s="13" t="s">
        <v>102</v>
      </c>
      <c r="C24" s="13" t="s">
        <v>3</v>
      </c>
      <c r="D24" s="13" t="s">
        <v>94</v>
      </c>
      <c r="E24" s="13" t="s">
        <v>18</v>
      </c>
      <c r="F24" s="13">
        <v>3</v>
      </c>
      <c r="G24" s="13" t="s">
        <v>29</v>
      </c>
      <c r="H24" s="13" t="s">
        <v>71</v>
      </c>
      <c r="I24" s="13" t="s">
        <v>42</v>
      </c>
      <c r="J24" s="13">
        <v>5</v>
      </c>
      <c r="K24" s="13" t="s">
        <v>53</v>
      </c>
      <c r="L24" s="13">
        <v>2</v>
      </c>
      <c r="M24" s="13" t="s">
        <v>11</v>
      </c>
    </row>
    <row r="25" spans="1:13">
      <c r="A25" s="13">
        <v>7025034</v>
      </c>
      <c r="B25" s="13" t="s">
        <v>103</v>
      </c>
      <c r="C25" s="13" t="s">
        <v>3</v>
      </c>
      <c r="D25" s="13" t="s">
        <v>104</v>
      </c>
      <c r="E25" s="13" t="s">
        <v>18</v>
      </c>
      <c r="F25" s="13">
        <v>3</v>
      </c>
      <c r="G25" s="13" t="s">
        <v>29</v>
      </c>
      <c r="H25" s="13" t="s">
        <v>96</v>
      </c>
      <c r="I25" s="13" t="s">
        <v>48</v>
      </c>
      <c r="J25" s="13">
        <v>3</v>
      </c>
      <c r="K25" s="13" t="s">
        <v>51</v>
      </c>
      <c r="L25" s="13">
        <v>2</v>
      </c>
      <c r="M25" s="13" t="s">
        <v>11</v>
      </c>
    </row>
    <row r="26" spans="1:13">
      <c r="A26" s="13">
        <v>7025079</v>
      </c>
      <c r="B26" s="13" t="s">
        <v>105</v>
      </c>
      <c r="C26" s="13" t="s">
        <v>3</v>
      </c>
      <c r="D26" s="13" t="s">
        <v>104</v>
      </c>
      <c r="E26" s="13" t="s">
        <v>18</v>
      </c>
      <c r="F26" s="13">
        <v>3</v>
      </c>
      <c r="G26" s="13" t="s">
        <v>29</v>
      </c>
      <c r="H26" s="13" t="s">
        <v>79</v>
      </c>
      <c r="I26" s="13" t="s">
        <v>44</v>
      </c>
      <c r="J26" s="13">
        <v>3</v>
      </c>
      <c r="K26" s="13" t="s">
        <v>51</v>
      </c>
      <c r="L26" s="13">
        <v>2</v>
      </c>
      <c r="M26" s="13" t="s">
        <v>11</v>
      </c>
    </row>
    <row r="27" spans="1:13">
      <c r="A27" s="13">
        <v>7024664</v>
      </c>
      <c r="B27" s="13" t="s">
        <v>106</v>
      </c>
      <c r="C27" s="13" t="s">
        <v>3</v>
      </c>
      <c r="D27" s="13" t="s">
        <v>104</v>
      </c>
      <c r="E27" s="13" t="s">
        <v>18</v>
      </c>
      <c r="F27" s="13">
        <v>3</v>
      </c>
      <c r="G27" s="13" t="s">
        <v>29</v>
      </c>
      <c r="H27" s="13" t="s">
        <v>107</v>
      </c>
      <c r="I27" s="13" t="s">
        <v>49</v>
      </c>
      <c r="J27" s="13">
        <v>26</v>
      </c>
      <c r="K27" s="13" t="s">
        <v>56</v>
      </c>
      <c r="L27" s="13">
        <v>2</v>
      </c>
      <c r="M27" s="13" t="s">
        <v>11</v>
      </c>
    </row>
    <row r="28" spans="1:13">
      <c r="A28" s="13">
        <v>7024240</v>
      </c>
      <c r="B28" s="13" t="s">
        <v>108</v>
      </c>
      <c r="C28" s="13" t="s">
        <v>3</v>
      </c>
      <c r="D28" s="13" t="s">
        <v>104</v>
      </c>
      <c r="E28" s="13" t="s">
        <v>18</v>
      </c>
      <c r="F28" s="13">
        <v>3</v>
      </c>
      <c r="G28" s="13" t="s">
        <v>29</v>
      </c>
      <c r="H28" s="13" t="s">
        <v>71</v>
      </c>
      <c r="I28" s="13" t="s">
        <v>42</v>
      </c>
      <c r="J28" s="13">
        <v>3</v>
      </c>
      <c r="K28" s="13" t="s">
        <v>51</v>
      </c>
      <c r="L28" s="13">
        <v>3</v>
      </c>
      <c r="M28" s="13" t="s">
        <v>12</v>
      </c>
    </row>
    <row r="29" spans="1:13">
      <c r="A29" s="13">
        <v>7023834</v>
      </c>
      <c r="B29" s="13" t="s">
        <v>109</v>
      </c>
      <c r="C29" s="13" t="s">
        <v>3</v>
      </c>
      <c r="D29" s="13">
        <v>1</v>
      </c>
      <c r="E29" s="13" t="s">
        <v>19</v>
      </c>
      <c r="F29" s="13">
        <v>1</v>
      </c>
      <c r="G29" s="13" t="s">
        <v>31</v>
      </c>
      <c r="H29" s="13" t="s">
        <v>79</v>
      </c>
      <c r="I29" s="13" t="s">
        <v>44</v>
      </c>
      <c r="J29" s="13">
        <v>14</v>
      </c>
      <c r="K29" s="13" t="s">
        <v>86</v>
      </c>
      <c r="L29" s="13">
        <v>3</v>
      </c>
      <c r="M29" s="13" t="s">
        <v>12</v>
      </c>
    </row>
    <row r="30" spans="1:13">
      <c r="A30" s="13">
        <v>7021741</v>
      </c>
      <c r="B30" s="13" t="s">
        <v>110</v>
      </c>
      <c r="C30" s="13" t="s">
        <v>3</v>
      </c>
      <c r="D30" s="13">
        <v>1</v>
      </c>
      <c r="E30" s="13" t="s">
        <v>19</v>
      </c>
      <c r="F30" s="13">
        <v>1</v>
      </c>
      <c r="G30" s="13" t="s">
        <v>31</v>
      </c>
      <c r="H30" s="13" t="s">
        <v>79</v>
      </c>
      <c r="I30" s="13" t="s">
        <v>44</v>
      </c>
      <c r="J30" s="13">
        <v>5</v>
      </c>
      <c r="K30" s="13" t="s">
        <v>53</v>
      </c>
      <c r="L30" s="13">
        <v>3</v>
      </c>
      <c r="M30" s="13" t="s">
        <v>12</v>
      </c>
    </row>
    <row r="31" spans="1:13">
      <c r="A31" s="13">
        <v>7021539</v>
      </c>
      <c r="B31" s="13" t="s">
        <v>111</v>
      </c>
      <c r="C31" s="13" t="s">
        <v>3</v>
      </c>
      <c r="D31" s="13">
        <v>1</v>
      </c>
      <c r="E31" s="13" t="s">
        <v>19</v>
      </c>
      <c r="F31" s="13">
        <v>1</v>
      </c>
      <c r="G31" s="13" t="s">
        <v>31</v>
      </c>
      <c r="H31" s="13" t="s">
        <v>71</v>
      </c>
      <c r="I31" s="13" t="s">
        <v>42</v>
      </c>
      <c r="J31" s="13">
        <v>14</v>
      </c>
      <c r="K31" s="13" t="s">
        <v>86</v>
      </c>
      <c r="L31" s="13">
        <v>3</v>
      </c>
      <c r="M31" s="13" t="s">
        <v>12</v>
      </c>
    </row>
    <row r="32" spans="1:13">
      <c r="A32" s="13">
        <v>7015370</v>
      </c>
      <c r="B32" s="13" t="s">
        <v>112</v>
      </c>
      <c r="C32" s="13" t="s">
        <v>3</v>
      </c>
      <c r="D32" s="13">
        <v>1</v>
      </c>
      <c r="E32" s="13" t="s">
        <v>19</v>
      </c>
      <c r="F32" s="13">
        <v>1</v>
      </c>
      <c r="G32" s="13" t="s">
        <v>31</v>
      </c>
      <c r="H32" s="13" t="s">
        <v>71</v>
      </c>
      <c r="I32" s="13" t="s">
        <v>42</v>
      </c>
      <c r="J32" s="13">
        <v>3</v>
      </c>
      <c r="K32" s="13" t="s">
        <v>51</v>
      </c>
      <c r="L32" s="13">
        <v>3</v>
      </c>
      <c r="M32" s="13" t="s">
        <v>12</v>
      </c>
    </row>
    <row r="33" spans="1:13">
      <c r="A33" s="13">
        <v>7011662</v>
      </c>
      <c r="B33" s="13" t="s">
        <v>113</v>
      </c>
      <c r="C33" s="13" t="s">
        <v>3</v>
      </c>
      <c r="D33" s="13">
        <v>1</v>
      </c>
      <c r="E33" s="13" t="s">
        <v>19</v>
      </c>
      <c r="F33" s="13">
        <v>1</v>
      </c>
      <c r="G33" s="13" t="s">
        <v>31</v>
      </c>
      <c r="H33" s="13" t="s">
        <v>71</v>
      </c>
      <c r="I33" s="13" t="s">
        <v>42</v>
      </c>
      <c r="J33" s="13">
        <v>3</v>
      </c>
      <c r="K33" s="13" t="s">
        <v>51</v>
      </c>
      <c r="L33" s="13">
        <v>3</v>
      </c>
      <c r="M33" s="13" t="s">
        <v>12</v>
      </c>
    </row>
    <row r="34" spans="1:13">
      <c r="A34" s="13">
        <v>7010511</v>
      </c>
      <c r="B34" s="13" t="s">
        <v>114</v>
      </c>
      <c r="C34" s="13" t="s">
        <v>3</v>
      </c>
      <c r="D34" s="13">
        <v>1</v>
      </c>
      <c r="E34" s="13" t="s">
        <v>19</v>
      </c>
      <c r="F34" s="13">
        <v>1</v>
      </c>
      <c r="G34" s="13" t="s">
        <v>31</v>
      </c>
      <c r="H34" s="13" t="s">
        <v>71</v>
      </c>
      <c r="I34" s="13" t="s">
        <v>42</v>
      </c>
      <c r="J34" s="13">
        <v>3</v>
      </c>
      <c r="K34" s="13" t="s">
        <v>51</v>
      </c>
      <c r="L34" s="13">
        <v>3</v>
      </c>
      <c r="M34" s="13" t="s">
        <v>12</v>
      </c>
    </row>
    <row r="35" spans="1:13">
      <c r="A35" s="13">
        <v>7010154</v>
      </c>
      <c r="B35" s="13" t="s">
        <v>115</v>
      </c>
      <c r="C35" s="13" t="s">
        <v>3</v>
      </c>
      <c r="D35" s="13">
        <v>1</v>
      </c>
      <c r="E35" s="13" t="s">
        <v>19</v>
      </c>
      <c r="F35" s="13">
        <v>1</v>
      </c>
      <c r="G35" s="13" t="s">
        <v>31</v>
      </c>
      <c r="H35" s="13" t="s">
        <v>71</v>
      </c>
      <c r="I35" s="13" t="s">
        <v>42</v>
      </c>
      <c r="J35" s="13">
        <v>3</v>
      </c>
      <c r="K35" s="13" t="s">
        <v>51</v>
      </c>
      <c r="L35" s="13">
        <v>3</v>
      </c>
      <c r="M35" s="13" t="s">
        <v>12</v>
      </c>
    </row>
    <row r="36" spans="1:13">
      <c r="A36" s="13">
        <v>7009442</v>
      </c>
      <c r="B36" s="13" t="s">
        <v>116</v>
      </c>
      <c r="C36" s="13" t="s">
        <v>3</v>
      </c>
      <c r="D36" s="13">
        <v>1</v>
      </c>
      <c r="E36" s="13" t="s">
        <v>19</v>
      </c>
      <c r="F36" s="13">
        <v>1</v>
      </c>
      <c r="G36" s="13" t="s">
        <v>31</v>
      </c>
      <c r="H36" s="13" t="s">
        <v>71</v>
      </c>
      <c r="I36" s="13" t="s">
        <v>42</v>
      </c>
      <c r="J36" s="13">
        <v>5</v>
      </c>
      <c r="K36" s="13" t="s">
        <v>53</v>
      </c>
      <c r="L36" s="13">
        <v>3</v>
      </c>
      <c r="M36" s="13" t="s">
        <v>12</v>
      </c>
    </row>
    <row r="37" spans="1:13">
      <c r="A37" s="13">
        <v>7024863</v>
      </c>
      <c r="B37" s="13" t="s">
        <v>117</v>
      </c>
      <c r="C37" s="13" t="s">
        <v>3</v>
      </c>
      <c r="D37" s="13">
        <v>0</v>
      </c>
      <c r="E37" s="13" t="s">
        <v>25</v>
      </c>
      <c r="F37" s="13" t="s">
        <v>95</v>
      </c>
      <c r="G37" s="13" t="s">
        <v>38</v>
      </c>
      <c r="H37" s="13" t="s">
        <v>71</v>
      </c>
      <c r="I37" s="13" t="s">
        <v>42</v>
      </c>
      <c r="J37" s="13">
        <v>5</v>
      </c>
      <c r="K37" s="13" t="s">
        <v>53</v>
      </c>
      <c r="L37" s="13">
        <v>2</v>
      </c>
      <c r="M37" s="13" t="s">
        <v>11</v>
      </c>
    </row>
    <row r="38" spans="1:13">
      <c r="A38" s="13">
        <v>7010983</v>
      </c>
      <c r="B38" s="13" t="s">
        <v>118</v>
      </c>
      <c r="C38" s="13" t="s">
        <v>3</v>
      </c>
      <c r="D38" s="13" t="s">
        <v>119</v>
      </c>
      <c r="E38" s="13" t="s">
        <v>26</v>
      </c>
      <c r="F38" s="13">
        <v>2</v>
      </c>
      <c r="G38" s="13" t="s">
        <v>36</v>
      </c>
      <c r="H38" s="13" t="s">
        <v>71</v>
      </c>
      <c r="I38" s="13" t="s">
        <v>42</v>
      </c>
      <c r="J38" s="13">
        <v>3</v>
      </c>
      <c r="K38" s="13" t="s">
        <v>51</v>
      </c>
      <c r="L38" s="13">
        <v>3</v>
      </c>
      <c r="M38" s="13" t="s">
        <v>12</v>
      </c>
    </row>
    <row r="39" spans="1:13">
      <c r="A39" s="13">
        <v>7024655</v>
      </c>
      <c r="B39" s="13" t="s">
        <v>120</v>
      </c>
      <c r="C39" s="14" t="s">
        <v>4</v>
      </c>
      <c r="D39" s="13" t="s">
        <v>121</v>
      </c>
      <c r="E39" s="13" t="s">
        <v>22</v>
      </c>
      <c r="F39" s="13">
        <v>2</v>
      </c>
      <c r="G39" s="13" t="s">
        <v>36</v>
      </c>
      <c r="H39" s="13" t="s">
        <v>122</v>
      </c>
      <c r="I39" s="13" t="s">
        <v>43</v>
      </c>
      <c r="J39" s="13">
        <v>3</v>
      </c>
      <c r="K39" s="13" t="s">
        <v>51</v>
      </c>
      <c r="L39" s="13">
        <v>1</v>
      </c>
      <c r="M39" s="13" t="s">
        <v>10</v>
      </c>
    </row>
    <row r="40" spans="1:13">
      <c r="A40" s="13">
        <v>7023828</v>
      </c>
      <c r="B40" s="13" t="s">
        <v>123</v>
      </c>
      <c r="C40" s="13" t="s">
        <v>4</v>
      </c>
      <c r="D40" s="13" t="s">
        <v>121</v>
      </c>
      <c r="E40" s="13" t="s">
        <v>22</v>
      </c>
      <c r="F40" s="13">
        <v>2</v>
      </c>
      <c r="G40" s="13" t="s">
        <v>36</v>
      </c>
      <c r="H40" s="13" t="s">
        <v>79</v>
      </c>
      <c r="I40" s="13" t="s">
        <v>44</v>
      </c>
      <c r="J40" s="13">
        <v>14</v>
      </c>
      <c r="K40" s="13" t="s">
        <v>86</v>
      </c>
      <c r="L40" s="13">
        <v>3</v>
      </c>
      <c r="M40" s="13" t="s">
        <v>12</v>
      </c>
    </row>
    <row r="41" spans="1:13">
      <c r="A41" s="13">
        <v>7024691</v>
      </c>
      <c r="B41" s="13" t="s">
        <v>124</v>
      </c>
      <c r="C41" s="13" t="s">
        <v>3</v>
      </c>
      <c r="D41" s="13">
        <v>1</v>
      </c>
      <c r="E41" s="13" t="s">
        <v>19</v>
      </c>
      <c r="F41" s="13">
        <v>1</v>
      </c>
      <c r="G41" s="13" t="s">
        <v>31</v>
      </c>
      <c r="H41" s="13" t="s">
        <v>125</v>
      </c>
      <c r="I41" s="13" t="s">
        <v>45</v>
      </c>
      <c r="J41" s="13">
        <v>5</v>
      </c>
      <c r="K41" s="13" t="s">
        <v>53</v>
      </c>
      <c r="L41" s="13">
        <v>2</v>
      </c>
      <c r="M41" s="13" t="s">
        <v>11</v>
      </c>
    </row>
  </sheetData>
  <sortState xmlns:xlrd2="http://schemas.microsoft.com/office/spreadsheetml/2017/richdata2" ref="A2:M41">
    <sortCondition ref="E2:E41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DB751-9739-48BF-9AC5-DA649C9E95DA}">
  <dimension ref="A1:D24"/>
  <sheetViews>
    <sheetView workbookViewId="0">
      <selection sqref="A1:D1"/>
    </sheetView>
  </sheetViews>
  <sheetFormatPr defaultRowHeight="15"/>
  <cols>
    <col min="1" max="1" width="28.42578125" bestFit="1" customWidth="1"/>
    <col min="2" max="2" width="31.7109375" customWidth="1"/>
    <col min="3" max="3" width="19" bestFit="1" customWidth="1"/>
    <col min="4" max="4" width="15.5703125" customWidth="1"/>
  </cols>
  <sheetData>
    <row r="1" spans="1:4">
      <c r="A1" s="11" t="s">
        <v>126</v>
      </c>
      <c r="B1" s="5">
        <f>'Stichtag-Rohdaten'!B2</f>
        <v>45679</v>
      </c>
      <c r="C1" s="12" t="s">
        <v>127</v>
      </c>
      <c r="D1" s="5">
        <f>'Stichtag-Rohdaten'!A2</f>
        <v>46044</v>
      </c>
    </row>
    <row r="3" spans="1:4">
      <c r="A3" s="1" t="s">
        <v>128</v>
      </c>
      <c r="B3" t="s">
        <v>129</v>
      </c>
    </row>
    <row r="5" spans="1:4">
      <c r="A5" s="1" t="s">
        <v>130</v>
      </c>
      <c r="B5" s="1" t="s">
        <v>131</v>
      </c>
      <c r="C5" t="s">
        <v>132</v>
      </c>
    </row>
    <row r="6" spans="1:4">
      <c r="A6" t="s">
        <v>133</v>
      </c>
      <c r="B6" t="s">
        <v>134</v>
      </c>
      <c r="C6" s="15">
        <v>3</v>
      </c>
    </row>
    <row r="7" spans="1:4">
      <c r="A7" t="s">
        <v>135</v>
      </c>
      <c r="C7" s="15">
        <v>3</v>
      </c>
    </row>
    <row r="8" spans="1:4">
      <c r="A8" t="s">
        <v>136</v>
      </c>
      <c r="B8" t="s">
        <v>137</v>
      </c>
      <c r="C8" s="15">
        <v>3</v>
      </c>
    </row>
    <row r="9" spans="1:4">
      <c r="A9" t="s">
        <v>138</v>
      </c>
      <c r="C9" s="15">
        <v>3</v>
      </c>
    </row>
    <row r="10" spans="1:4">
      <c r="A10" t="s">
        <v>139</v>
      </c>
      <c r="B10" t="s">
        <v>140</v>
      </c>
      <c r="C10" s="15">
        <v>1</v>
      </c>
    </row>
    <row r="11" spans="1:4">
      <c r="A11" t="s">
        <v>141</v>
      </c>
      <c r="C11" s="15">
        <v>1</v>
      </c>
    </row>
    <row r="12" spans="1:4">
      <c r="A12" t="s">
        <v>142</v>
      </c>
      <c r="B12" t="s">
        <v>143</v>
      </c>
      <c r="C12" s="15">
        <v>3</v>
      </c>
    </row>
    <row r="13" spans="1:4">
      <c r="A13" t="s">
        <v>144</v>
      </c>
      <c r="C13" s="15">
        <v>3</v>
      </c>
    </row>
    <row r="14" spans="1:4">
      <c r="A14" t="s">
        <v>145</v>
      </c>
      <c r="B14" t="s">
        <v>146</v>
      </c>
      <c r="C14" s="15">
        <v>4</v>
      </c>
    </row>
    <row r="15" spans="1:4">
      <c r="A15" t="s">
        <v>147</v>
      </c>
      <c r="C15" s="15">
        <v>4</v>
      </c>
    </row>
    <row r="16" spans="1:4">
      <c r="A16" t="s">
        <v>148</v>
      </c>
      <c r="B16" t="s">
        <v>86</v>
      </c>
      <c r="C16" s="15">
        <v>1</v>
      </c>
    </row>
    <row r="17" spans="1:3">
      <c r="A17" t="s">
        <v>149</v>
      </c>
      <c r="C17" s="15">
        <v>1</v>
      </c>
    </row>
    <row r="18" spans="1:3">
      <c r="A18" t="s">
        <v>150</v>
      </c>
      <c r="B18" t="s">
        <v>151</v>
      </c>
      <c r="C18" s="15">
        <v>1</v>
      </c>
    </row>
    <row r="19" spans="1:3">
      <c r="A19" t="s">
        <v>152</v>
      </c>
      <c r="C19" s="15">
        <v>1</v>
      </c>
    </row>
    <row r="20" spans="1:3">
      <c r="A20" t="s">
        <v>153</v>
      </c>
      <c r="B20" t="s">
        <v>154</v>
      </c>
      <c r="C20" s="15">
        <v>1</v>
      </c>
    </row>
    <row r="21" spans="1:3">
      <c r="A21" t="s">
        <v>155</v>
      </c>
      <c r="C21" s="15">
        <v>1</v>
      </c>
    </row>
    <row r="22" spans="1:3">
      <c r="A22" t="s">
        <v>156</v>
      </c>
      <c r="B22" t="s">
        <v>157</v>
      </c>
      <c r="C22" s="15">
        <v>2</v>
      </c>
    </row>
    <row r="23" spans="1:3">
      <c r="A23" t="s">
        <v>158</v>
      </c>
      <c r="C23" s="15">
        <v>2</v>
      </c>
    </row>
    <row r="24" spans="1:3">
      <c r="A24" t="s">
        <v>6</v>
      </c>
      <c r="C24" s="15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7EAA7-ADE1-4785-95E2-4268661820FB}">
  <dimension ref="A1:E21"/>
  <sheetViews>
    <sheetView workbookViewId="0">
      <selection activeCell="A7" sqref="A7"/>
    </sheetView>
  </sheetViews>
  <sheetFormatPr defaultRowHeight="15"/>
  <cols>
    <col min="1" max="1" width="47.28515625" customWidth="1"/>
    <col min="2" max="2" width="31.7109375" bestFit="1" customWidth="1"/>
    <col min="3" max="3" width="19.5703125" bestFit="1" customWidth="1"/>
    <col min="4" max="4" width="11.5703125" customWidth="1"/>
    <col min="5" max="5" width="11.42578125" bestFit="1" customWidth="1"/>
    <col min="6" max="6" width="15.85546875" bestFit="1" customWidth="1"/>
    <col min="7" max="7" width="8.140625" bestFit="1" customWidth="1"/>
    <col min="8" max="8" width="14.5703125" bestFit="1" customWidth="1"/>
    <col min="9" max="9" width="15.85546875" bestFit="1" customWidth="1"/>
  </cols>
  <sheetData>
    <row r="1" spans="1:5">
      <c r="A1" s="11" t="s">
        <v>126</v>
      </c>
      <c r="B1" s="5">
        <f>'Stichtag-Rohdaten'!B2</f>
        <v>45679</v>
      </c>
      <c r="C1" s="12" t="s">
        <v>127</v>
      </c>
      <c r="D1" s="5">
        <f>'Stichtag-Rohdaten'!A2</f>
        <v>46044</v>
      </c>
    </row>
    <row r="3" spans="1:5">
      <c r="A3" s="1" t="s">
        <v>128</v>
      </c>
      <c r="B3" t="s">
        <v>159</v>
      </c>
    </row>
    <row r="5" spans="1:5">
      <c r="A5" s="1" t="s">
        <v>132</v>
      </c>
      <c r="C5" s="1" t="s">
        <v>160</v>
      </c>
    </row>
    <row r="6" spans="1:5">
      <c r="A6" s="1" t="s">
        <v>130</v>
      </c>
      <c r="B6" s="1" t="s">
        <v>131</v>
      </c>
      <c r="C6" t="s">
        <v>161</v>
      </c>
      <c r="D6" t="s">
        <v>162</v>
      </c>
      <c r="E6" t="s">
        <v>6</v>
      </c>
    </row>
    <row r="7" spans="1:5">
      <c r="A7" t="s">
        <v>133</v>
      </c>
      <c r="B7" t="s">
        <v>134</v>
      </c>
      <c r="C7" s="15">
        <v>3</v>
      </c>
      <c r="D7" s="15">
        <v>1</v>
      </c>
      <c r="E7" s="15">
        <v>4</v>
      </c>
    </row>
    <row r="8" spans="1:5">
      <c r="A8" t="s">
        <v>135</v>
      </c>
      <c r="C8" s="15">
        <v>3</v>
      </c>
      <c r="D8" s="15">
        <v>1</v>
      </c>
      <c r="E8" s="15">
        <v>4</v>
      </c>
    </row>
    <row r="9" spans="1:5">
      <c r="A9" t="s">
        <v>136</v>
      </c>
      <c r="B9" t="s">
        <v>137</v>
      </c>
      <c r="C9" s="15">
        <v>3</v>
      </c>
      <c r="D9" s="15">
        <v>1</v>
      </c>
      <c r="E9" s="15">
        <v>4</v>
      </c>
    </row>
    <row r="10" spans="1:5">
      <c r="A10" t="s">
        <v>138</v>
      </c>
      <c r="C10" s="15">
        <v>3</v>
      </c>
      <c r="D10" s="15">
        <v>1</v>
      </c>
      <c r="E10" s="15">
        <v>4</v>
      </c>
    </row>
    <row r="11" spans="1:5">
      <c r="A11" t="s">
        <v>139</v>
      </c>
      <c r="B11" t="s">
        <v>140</v>
      </c>
      <c r="C11" s="15">
        <v>2</v>
      </c>
      <c r="D11" s="15">
        <v>0</v>
      </c>
      <c r="E11" s="15">
        <v>2</v>
      </c>
    </row>
    <row r="12" spans="1:5">
      <c r="A12" t="s">
        <v>141</v>
      </c>
      <c r="C12" s="15">
        <v>2</v>
      </c>
      <c r="D12" s="15">
        <v>0</v>
      </c>
      <c r="E12" s="15">
        <v>2</v>
      </c>
    </row>
    <row r="13" spans="1:5">
      <c r="A13" t="s">
        <v>142</v>
      </c>
      <c r="B13" t="s">
        <v>143</v>
      </c>
      <c r="C13" s="15">
        <v>3</v>
      </c>
      <c r="D13" s="15">
        <v>2</v>
      </c>
      <c r="E13" s="15">
        <v>5</v>
      </c>
    </row>
    <row r="14" spans="1:5">
      <c r="A14" t="s">
        <v>144</v>
      </c>
      <c r="C14" s="15">
        <v>3</v>
      </c>
      <c r="D14" s="15">
        <v>2</v>
      </c>
      <c r="E14" s="15">
        <v>5</v>
      </c>
    </row>
    <row r="15" spans="1:5">
      <c r="A15" t="s">
        <v>145</v>
      </c>
      <c r="B15" t="s">
        <v>146</v>
      </c>
      <c r="C15" s="15">
        <v>1</v>
      </c>
      <c r="D15" s="15">
        <v>0</v>
      </c>
      <c r="E15" s="15">
        <v>1</v>
      </c>
    </row>
    <row r="16" spans="1:5">
      <c r="A16" t="s">
        <v>147</v>
      </c>
      <c r="C16" s="15">
        <v>1</v>
      </c>
      <c r="D16" s="15">
        <v>0</v>
      </c>
      <c r="E16" s="15">
        <v>1</v>
      </c>
    </row>
    <row r="17" spans="1:5">
      <c r="A17" t="s">
        <v>148</v>
      </c>
      <c r="B17" t="s">
        <v>86</v>
      </c>
      <c r="C17" s="15">
        <v>1</v>
      </c>
      <c r="D17" s="15">
        <v>1</v>
      </c>
      <c r="E17" s="15">
        <v>2</v>
      </c>
    </row>
    <row r="18" spans="1:5">
      <c r="A18" t="s">
        <v>149</v>
      </c>
      <c r="C18" s="15">
        <v>1</v>
      </c>
      <c r="D18" s="15">
        <v>1</v>
      </c>
      <c r="E18" s="15">
        <v>2</v>
      </c>
    </row>
    <row r="19" spans="1:5">
      <c r="A19" t="s">
        <v>156</v>
      </c>
      <c r="B19" t="s">
        <v>157</v>
      </c>
      <c r="C19" s="15">
        <v>3</v>
      </c>
      <c r="D19" s="15">
        <v>1</v>
      </c>
      <c r="E19" s="15">
        <v>4</v>
      </c>
    </row>
    <row r="20" spans="1:5">
      <c r="A20" t="s">
        <v>158</v>
      </c>
      <c r="C20" s="15">
        <v>3</v>
      </c>
      <c r="D20" s="15">
        <v>1</v>
      </c>
      <c r="E20" s="15">
        <v>4</v>
      </c>
    </row>
    <row r="21" spans="1:5">
      <c r="A21" t="s">
        <v>6</v>
      </c>
      <c r="C21" s="15">
        <v>16</v>
      </c>
      <c r="D21" s="15">
        <v>6</v>
      </c>
      <c r="E21" s="15">
        <v>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A3BF-B444-4335-8552-4E4931C53817}">
  <dimension ref="A1:D13"/>
  <sheetViews>
    <sheetView workbookViewId="0">
      <selection activeCell="F39" sqref="F39"/>
    </sheetView>
  </sheetViews>
  <sheetFormatPr defaultRowHeight="15"/>
  <cols>
    <col min="1" max="1" width="31.7109375" customWidth="1"/>
    <col min="2" max="2" width="19" bestFit="1" customWidth="1"/>
    <col min="3" max="3" width="11.5703125" bestFit="1" customWidth="1"/>
    <col min="4" max="4" width="11.42578125" customWidth="1"/>
    <col min="5" max="5" width="11.42578125" bestFit="1" customWidth="1"/>
    <col min="6" max="6" width="15.85546875" bestFit="1" customWidth="1"/>
    <col min="7" max="7" width="8.140625" bestFit="1" customWidth="1"/>
    <col min="8" max="8" width="14.5703125" bestFit="1" customWidth="1"/>
    <col min="9" max="9" width="15.85546875" bestFit="1" customWidth="1"/>
  </cols>
  <sheetData>
    <row r="1" spans="1:4">
      <c r="A1" s="11" t="s">
        <v>126</v>
      </c>
      <c r="B1" s="5">
        <f>'Stichtag-Rohdaten'!B2</f>
        <v>45679</v>
      </c>
      <c r="C1" s="12" t="s">
        <v>127</v>
      </c>
      <c r="D1" s="5">
        <f>'Stichtag-Rohdaten'!A2</f>
        <v>46044</v>
      </c>
    </row>
    <row r="3" spans="1:4">
      <c r="A3" s="1" t="s">
        <v>128</v>
      </c>
      <c r="B3" t="s">
        <v>159</v>
      </c>
    </row>
    <row r="5" spans="1:4">
      <c r="A5" s="1" t="s">
        <v>131</v>
      </c>
      <c r="B5" t="s">
        <v>132</v>
      </c>
    </row>
    <row r="6" spans="1:4">
      <c r="A6" t="s">
        <v>134</v>
      </c>
      <c r="B6" s="15">
        <v>4</v>
      </c>
    </row>
    <row r="7" spans="1:4">
      <c r="A7" t="s">
        <v>137</v>
      </c>
      <c r="B7" s="15">
        <v>4</v>
      </c>
    </row>
    <row r="8" spans="1:4">
      <c r="A8" t="s">
        <v>140</v>
      </c>
      <c r="B8" s="15">
        <v>2</v>
      </c>
    </row>
    <row r="9" spans="1:4">
      <c r="A9" t="s">
        <v>143</v>
      </c>
      <c r="B9" s="15">
        <v>5</v>
      </c>
    </row>
    <row r="10" spans="1:4">
      <c r="A10" t="s">
        <v>146</v>
      </c>
      <c r="B10" s="15">
        <v>1</v>
      </c>
    </row>
    <row r="11" spans="1:4">
      <c r="A11" t="s">
        <v>86</v>
      </c>
      <c r="B11" s="15">
        <v>2</v>
      </c>
    </row>
    <row r="12" spans="1:4">
      <c r="A12" t="s">
        <v>157</v>
      </c>
      <c r="B12" s="15">
        <v>4</v>
      </c>
    </row>
    <row r="13" spans="1:4">
      <c r="A13" t="s">
        <v>6</v>
      </c>
      <c r="B13" s="15">
        <v>22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64029-25B3-4D63-9632-B0ECE5EC757A}">
  <dimension ref="A1:F42"/>
  <sheetViews>
    <sheetView topLeftCell="A23" workbookViewId="0">
      <selection activeCell="A23" sqref="A23"/>
    </sheetView>
  </sheetViews>
  <sheetFormatPr defaultRowHeight="15"/>
  <cols>
    <col min="2" max="2" width="36.7109375" customWidth="1"/>
    <col min="3" max="3" width="43.7109375" customWidth="1"/>
    <col min="4" max="4" width="12" customWidth="1"/>
    <col min="5" max="5" width="15.140625" style="5" customWidth="1"/>
    <col min="6" max="6" width="23.85546875" customWidth="1"/>
  </cols>
  <sheetData>
    <row r="1" spans="1:6" s="4" customFormat="1">
      <c r="A1" s="4" t="s">
        <v>163</v>
      </c>
      <c r="B1" s="4" t="s">
        <v>130</v>
      </c>
      <c r="C1" s="4" t="s">
        <v>131</v>
      </c>
      <c r="D1" s="4" t="s">
        <v>128</v>
      </c>
      <c r="E1" s="6" t="s">
        <v>164</v>
      </c>
      <c r="F1" s="4" t="s">
        <v>160</v>
      </c>
    </row>
    <row r="2" spans="1:6" s="4" customFormat="1">
      <c r="A2" s="9" t="s">
        <v>74</v>
      </c>
      <c r="B2" s="9" t="s">
        <v>133</v>
      </c>
      <c r="C2" s="9" t="s">
        <v>134</v>
      </c>
      <c r="D2" s="9" t="s">
        <v>159</v>
      </c>
      <c r="E2" s="10">
        <v>46044</v>
      </c>
      <c r="F2" s="9" t="s">
        <v>161</v>
      </c>
    </row>
    <row r="3" spans="1:6">
      <c r="A3" s="13" t="s">
        <v>72</v>
      </c>
      <c r="B3" s="9" t="s">
        <v>133</v>
      </c>
      <c r="C3" s="9" t="s">
        <v>134</v>
      </c>
      <c r="D3" t="s">
        <v>159</v>
      </c>
      <c r="E3" s="5">
        <v>45737</v>
      </c>
      <c r="F3" s="9" t="s">
        <v>161</v>
      </c>
    </row>
    <row r="4" spans="1:6">
      <c r="A4" s="13" t="s">
        <v>73</v>
      </c>
      <c r="B4" s="9" t="s">
        <v>133</v>
      </c>
      <c r="C4" s="9" t="s">
        <v>134</v>
      </c>
      <c r="D4" t="s">
        <v>159</v>
      </c>
      <c r="E4" s="5">
        <v>45738</v>
      </c>
      <c r="F4" s="9" t="s">
        <v>162</v>
      </c>
    </row>
    <row r="5" spans="1:6">
      <c r="A5" s="13" t="s">
        <v>74</v>
      </c>
      <c r="B5" s="9" t="s">
        <v>133</v>
      </c>
      <c r="C5" s="9" t="s">
        <v>134</v>
      </c>
      <c r="D5" t="s">
        <v>159</v>
      </c>
      <c r="E5" s="5">
        <v>45739</v>
      </c>
      <c r="F5" s="9" t="s">
        <v>161</v>
      </c>
    </row>
    <row r="6" spans="1:6">
      <c r="A6" s="13" t="s">
        <v>77</v>
      </c>
      <c r="B6" t="s">
        <v>136</v>
      </c>
      <c r="C6" t="s">
        <v>137</v>
      </c>
      <c r="D6" s="9" t="s">
        <v>159</v>
      </c>
      <c r="E6" s="5">
        <v>45742</v>
      </c>
      <c r="F6" s="9" t="s">
        <v>161</v>
      </c>
    </row>
    <row r="7" spans="1:6">
      <c r="A7" s="13" t="s">
        <v>81</v>
      </c>
      <c r="B7" t="s">
        <v>136</v>
      </c>
      <c r="C7" t="s">
        <v>137</v>
      </c>
      <c r="D7" t="s">
        <v>159</v>
      </c>
      <c r="E7" s="5">
        <v>45744</v>
      </c>
      <c r="F7" s="9" t="s">
        <v>161</v>
      </c>
    </row>
    <row r="8" spans="1:6">
      <c r="A8" s="13" t="s">
        <v>83</v>
      </c>
      <c r="B8" t="s">
        <v>136</v>
      </c>
      <c r="C8" t="s">
        <v>137</v>
      </c>
      <c r="D8" t="s">
        <v>159</v>
      </c>
      <c r="E8" s="5">
        <v>45745</v>
      </c>
      <c r="F8" s="9" t="s">
        <v>162</v>
      </c>
    </row>
    <row r="9" spans="1:6">
      <c r="A9" s="13" t="s">
        <v>84</v>
      </c>
      <c r="B9" t="s">
        <v>136</v>
      </c>
      <c r="C9" t="s">
        <v>137</v>
      </c>
      <c r="D9" t="s">
        <v>159</v>
      </c>
      <c r="E9" s="5">
        <v>45746</v>
      </c>
      <c r="F9" s="9" t="s">
        <v>161</v>
      </c>
    </row>
    <row r="10" spans="1:6">
      <c r="A10" s="13" t="s">
        <v>88</v>
      </c>
      <c r="B10" t="s">
        <v>139</v>
      </c>
      <c r="C10" t="s">
        <v>140</v>
      </c>
      <c r="D10" s="9" t="s">
        <v>159</v>
      </c>
      <c r="E10" s="5">
        <v>45749</v>
      </c>
      <c r="F10" s="9" t="s">
        <v>161</v>
      </c>
    </row>
    <row r="11" spans="1:6">
      <c r="A11" s="13" t="s">
        <v>92</v>
      </c>
      <c r="B11" t="s">
        <v>139</v>
      </c>
      <c r="C11" t="s">
        <v>140</v>
      </c>
      <c r="D11" t="s">
        <v>159</v>
      </c>
      <c r="E11" s="5">
        <v>45751</v>
      </c>
      <c r="F11" s="9" t="s">
        <v>161</v>
      </c>
    </row>
    <row r="12" spans="1:6">
      <c r="A12" s="13" t="s">
        <v>93</v>
      </c>
      <c r="B12" t="s">
        <v>142</v>
      </c>
      <c r="C12" t="s">
        <v>143</v>
      </c>
      <c r="D12" t="s">
        <v>159</v>
      </c>
      <c r="E12" s="5">
        <v>45752</v>
      </c>
      <c r="F12" s="9" t="s">
        <v>161</v>
      </c>
    </row>
    <row r="13" spans="1:6">
      <c r="A13" s="13" t="s">
        <v>97</v>
      </c>
      <c r="B13" t="s">
        <v>142</v>
      </c>
      <c r="C13" t="s">
        <v>143</v>
      </c>
      <c r="D13" t="s">
        <v>159</v>
      </c>
      <c r="E13" s="5">
        <v>45753</v>
      </c>
      <c r="F13" s="9" t="s">
        <v>161</v>
      </c>
    </row>
    <row r="14" spans="1:6">
      <c r="A14" s="13" t="s">
        <v>100</v>
      </c>
      <c r="B14" t="s">
        <v>142</v>
      </c>
      <c r="C14" t="s">
        <v>143</v>
      </c>
      <c r="D14" s="9" t="s">
        <v>159</v>
      </c>
      <c r="E14" s="5">
        <v>45756</v>
      </c>
      <c r="F14" s="9" t="s">
        <v>162</v>
      </c>
    </row>
    <row r="15" spans="1:6">
      <c r="A15" s="13" t="s">
        <v>102</v>
      </c>
      <c r="B15" t="s">
        <v>142</v>
      </c>
      <c r="C15" t="s">
        <v>143</v>
      </c>
      <c r="D15" t="s">
        <v>159</v>
      </c>
      <c r="E15" s="5">
        <v>45758</v>
      </c>
      <c r="F15" s="9" t="s">
        <v>162</v>
      </c>
    </row>
    <row r="16" spans="1:6">
      <c r="A16" s="13" t="s">
        <v>103</v>
      </c>
      <c r="B16" t="s">
        <v>142</v>
      </c>
      <c r="C16" t="s">
        <v>143</v>
      </c>
      <c r="D16" t="s">
        <v>159</v>
      </c>
      <c r="E16" s="5">
        <v>45759</v>
      </c>
      <c r="F16" s="9" t="s">
        <v>161</v>
      </c>
    </row>
    <row r="17" spans="1:6">
      <c r="A17" s="13" t="s">
        <v>105</v>
      </c>
      <c r="B17" t="s">
        <v>145</v>
      </c>
      <c r="C17" t="s">
        <v>146</v>
      </c>
      <c r="D17" t="s">
        <v>159</v>
      </c>
      <c r="E17" s="5">
        <v>45760</v>
      </c>
      <c r="F17" s="9" t="s">
        <v>161</v>
      </c>
    </row>
    <row r="18" spans="1:6">
      <c r="A18" s="13" t="s">
        <v>112</v>
      </c>
      <c r="B18" t="s">
        <v>148</v>
      </c>
      <c r="C18" t="s">
        <v>86</v>
      </c>
      <c r="D18" t="s">
        <v>159</v>
      </c>
      <c r="E18" s="5">
        <v>45766</v>
      </c>
      <c r="F18" s="9" t="s">
        <v>162</v>
      </c>
    </row>
    <row r="19" spans="1:6">
      <c r="A19" s="13" t="s">
        <v>113</v>
      </c>
      <c r="B19" t="s">
        <v>148</v>
      </c>
      <c r="C19" t="s">
        <v>86</v>
      </c>
      <c r="D19" t="s">
        <v>159</v>
      </c>
      <c r="E19" s="5">
        <v>45767</v>
      </c>
      <c r="F19" s="9" t="s">
        <v>161</v>
      </c>
    </row>
    <row r="20" spans="1:6">
      <c r="A20" s="13" t="s">
        <v>116</v>
      </c>
      <c r="B20" t="s">
        <v>156</v>
      </c>
      <c r="C20" t="s">
        <v>157</v>
      </c>
      <c r="D20" s="9" t="s">
        <v>159</v>
      </c>
      <c r="E20" s="5">
        <v>45770</v>
      </c>
      <c r="F20" s="9" t="s">
        <v>161</v>
      </c>
    </row>
    <row r="21" spans="1:6">
      <c r="A21" s="13" t="s">
        <v>118</v>
      </c>
      <c r="B21" t="s">
        <v>156</v>
      </c>
      <c r="C21" t="s">
        <v>157</v>
      </c>
      <c r="D21" t="s">
        <v>159</v>
      </c>
      <c r="E21" s="5">
        <v>45772</v>
      </c>
      <c r="F21" s="9" t="s">
        <v>161</v>
      </c>
    </row>
    <row r="22" spans="1:6">
      <c r="A22" s="13" t="s">
        <v>120</v>
      </c>
      <c r="B22" t="s">
        <v>156</v>
      </c>
      <c r="C22" t="s">
        <v>157</v>
      </c>
      <c r="D22" t="s">
        <v>159</v>
      </c>
      <c r="E22" s="5">
        <v>45773</v>
      </c>
      <c r="F22" s="9" t="s">
        <v>161</v>
      </c>
    </row>
    <row r="23" spans="1:6">
      <c r="A23" s="13" t="s">
        <v>123</v>
      </c>
      <c r="B23" t="s">
        <v>156</v>
      </c>
      <c r="C23" t="s">
        <v>157</v>
      </c>
      <c r="D23" t="s">
        <v>159</v>
      </c>
      <c r="E23" s="5">
        <v>45774</v>
      </c>
      <c r="F23" s="9" t="s">
        <v>162</v>
      </c>
    </row>
    <row r="24" spans="1:6">
      <c r="A24" s="13" t="s">
        <v>70</v>
      </c>
      <c r="B24" s="9" t="s">
        <v>133</v>
      </c>
      <c r="C24" s="9" t="s">
        <v>134</v>
      </c>
      <c r="D24" t="s">
        <v>129</v>
      </c>
      <c r="E24" s="5">
        <v>45737</v>
      </c>
      <c r="F24" s="9" t="s">
        <v>162</v>
      </c>
    </row>
    <row r="25" spans="1:6">
      <c r="A25" s="13" t="s">
        <v>75</v>
      </c>
      <c r="B25" s="9" t="s">
        <v>133</v>
      </c>
      <c r="C25" s="9" t="s">
        <v>134</v>
      </c>
      <c r="D25" t="s">
        <v>129</v>
      </c>
      <c r="E25" s="5">
        <v>45740</v>
      </c>
      <c r="F25" s="9" t="s">
        <v>161</v>
      </c>
    </row>
    <row r="26" spans="1:6">
      <c r="A26" s="13" t="s">
        <v>76</v>
      </c>
      <c r="B26" s="9" t="s">
        <v>133</v>
      </c>
      <c r="C26" s="9" t="s">
        <v>134</v>
      </c>
      <c r="D26" t="s">
        <v>129</v>
      </c>
      <c r="E26" s="5">
        <v>45741</v>
      </c>
      <c r="F26" s="9" t="s">
        <v>162</v>
      </c>
    </row>
    <row r="27" spans="1:6">
      <c r="A27" s="13" t="s">
        <v>80</v>
      </c>
      <c r="B27" t="s">
        <v>136</v>
      </c>
      <c r="C27" t="s">
        <v>137</v>
      </c>
      <c r="D27" t="s">
        <v>129</v>
      </c>
      <c r="E27" s="5">
        <v>45743</v>
      </c>
      <c r="F27" s="9" t="s">
        <v>161</v>
      </c>
    </row>
    <row r="28" spans="1:6">
      <c r="A28" s="13" t="s">
        <v>85</v>
      </c>
      <c r="B28" t="s">
        <v>136</v>
      </c>
      <c r="C28" t="s">
        <v>137</v>
      </c>
      <c r="D28" t="s">
        <v>129</v>
      </c>
      <c r="E28" s="5">
        <v>45747</v>
      </c>
      <c r="F28" s="9" t="s">
        <v>162</v>
      </c>
    </row>
    <row r="29" spans="1:6">
      <c r="A29" s="13" t="s">
        <v>87</v>
      </c>
      <c r="B29" t="s">
        <v>136</v>
      </c>
      <c r="C29" t="s">
        <v>137</v>
      </c>
      <c r="D29" t="s">
        <v>129</v>
      </c>
      <c r="E29" s="5">
        <v>45748</v>
      </c>
      <c r="F29" s="9" t="s">
        <v>161</v>
      </c>
    </row>
    <row r="30" spans="1:6">
      <c r="A30" s="13" t="s">
        <v>90</v>
      </c>
      <c r="B30" t="s">
        <v>139</v>
      </c>
      <c r="C30" t="s">
        <v>140</v>
      </c>
      <c r="D30" t="s">
        <v>129</v>
      </c>
      <c r="E30" s="5">
        <v>45750</v>
      </c>
      <c r="F30" s="9" t="s">
        <v>162</v>
      </c>
    </row>
    <row r="31" spans="1:6">
      <c r="A31" s="13" t="s">
        <v>98</v>
      </c>
      <c r="B31" t="s">
        <v>142</v>
      </c>
      <c r="C31" t="s">
        <v>143</v>
      </c>
      <c r="D31" t="s">
        <v>129</v>
      </c>
      <c r="E31" s="5">
        <v>45754</v>
      </c>
      <c r="F31" s="9" t="s">
        <v>162</v>
      </c>
    </row>
    <row r="32" spans="1:6">
      <c r="A32" s="13" t="s">
        <v>99</v>
      </c>
      <c r="B32" t="s">
        <v>142</v>
      </c>
      <c r="C32" t="s">
        <v>143</v>
      </c>
      <c r="D32" t="s">
        <v>129</v>
      </c>
      <c r="E32" s="5">
        <v>45755</v>
      </c>
      <c r="F32" s="9" t="s">
        <v>161</v>
      </c>
    </row>
    <row r="33" spans="1:6">
      <c r="A33" s="13" t="s">
        <v>101</v>
      </c>
      <c r="B33" t="s">
        <v>142</v>
      </c>
      <c r="C33" t="s">
        <v>143</v>
      </c>
      <c r="D33" t="s">
        <v>129</v>
      </c>
      <c r="E33" s="5">
        <v>45757</v>
      </c>
      <c r="F33" s="9" t="s">
        <v>161</v>
      </c>
    </row>
    <row r="34" spans="1:6">
      <c r="A34" s="13" t="s">
        <v>106</v>
      </c>
      <c r="B34" t="s">
        <v>145</v>
      </c>
      <c r="C34" t="s">
        <v>146</v>
      </c>
      <c r="D34" t="s">
        <v>129</v>
      </c>
      <c r="E34" s="5">
        <v>45761</v>
      </c>
      <c r="F34" s="9" t="s">
        <v>162</v>
      </c>
    </row>
    <row r="35" spans="1:6">
      <c r="A35" s="13" t="s">
        <v>108</v>
      </c>
      <c r="B35" t="s">
        <v>145</v>
      </c>
      <c r="C35" t="s">
        <v>146</v>
      </c>
      <c r="D35" t="s">
        <v>129</v>
      </c>
      <c r="E35" s="5">
        <v>45762</v>
      </c>
      <c r="F35" s="9" t="s">
        <v>162</v>
      </c>
    </row>
    <row r="36" spans="1:6">
      <c r="A36" s="13" t="s">
        <v>109</v>
      </c>
      <c r="B36" t="s">
        <v>145</v>
      </c>
      <c r="C36" t="s">
        <v>146</v>
      </c>
      <c r="D36" t="s">
        <v>129</v>
      </c>
      <c r="E36" s="5">
        <v>45763</v>
      </c>
      <c r="F36" s="9" t="s">
        <v>161</v>
      </c>
    </row>
    <row r="37" spans="1:6">
      <c r="A37" s="13" t="s">
        <v>110</v>
      </c>
      <c r="B37" t="s">
        <v>145</v>
      </c>
      <c r="C37" t="s">
        <v>146</v>
      </c>
      <c r="D37" t="s">
        <v>129</v>
      </c>
      <c r="E37" s="5">
        <v>45764</v>
      </c>
      <c r="F37" s="9" t="s">
        <v>162</v>
      </c>
    </row>
    <row r="38" spans="1:6">
      <c r="A38" s="13" t="s">
        <v>111</v>
      </c>
      <c r="B38" t="s">
        <v>148</v>
      </c>
      <c r="C38" t="s">
        <v>86</v>
      </c>
      <c r="D38" t="s">
        <v>129</v>
      </c>
      <c r="E38" s="5">
        <v>45765</v>
      </c>
      <c r="F38" s="9" t="s">
        <v>161</v>
      </c>
    </row>
    <row r="39" spans="1:6">
      <c r="A39" s="13" t="s">
        <v>114</v>
      </c>
      <c r="B39" t="s">
        <v>150</v>
      </c>
      <c r="C39" t="s">
        <v>151</v>
      </c>
      <c r="D39" t="s">
        <v>129</v>
      </c>
      <c r="E39" s="5">
        <v>45768</v>
      </c>
      <c r="F39" s="9" t="s">
        <v>161</v>
      </c>
    </row>
    <row r="40" spans="1:6">
      <c r="A40" s="13" t="s">
        <v>115</v>
      </c>
      <c r="B40" t="s">
        <v>153</v>
      </c>
      <c r="C40" t="s">
        <v>154</v>
      </c>
      <c r="D40" t="s">
        <v>129</v>
      </c>
      <c r="E40" s="5">
        <v>45769</v>
      </c>
      <c r="F40" s="9" t="s">
        <v>162</v>
      </c>
    </row>
    <row r="41" spans="1:6">
      <c r="A41" s="13" t="s">
        <v>117</v>
      </c>
      <c r="B41" t="s">
        <v>156</v>
      </c>
      <c r="C41" t="s">
        <v>157</v>
      </c>
      <c r="D41" t="s">
        <v>129</v>
      </c>
      <c r="E41" s="5">
        <v>45771</v>
      </c>
      <c r="F41" s="9" t="s">
        <v>162</v>
      </c>
    </row>
    <row r="42" spans="1:6">
      <c r="A42" s="13" t="s">
        <v>124</v>
      </c>
      <c r="B42" t="s">
        <v>156</v>
      </c>
      <c r="C42" t="s">
        <v>157</v>
      </c>
      <c r="D42" t="s">
        <v>129</v>
      </c>
      <c r="E42" s="5">
        <v>45775</v>
      </c>
      <c r="F42" s="9" t="s">
        <v>165</v>
      </c>
    </row>
  </sheetData>
  <sortState xmlns:xlrd2="http://schemas.microsoft.com/office/spreadsheetml/2017/richdata2" ref="A2:F43">
    <sortCondition ref="D2:D4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6F6A-3419-450E-A237-7A848FEB5D69}">
  <dimension ref="A1:C16"/>
  <sheetViews>
    <sheetView workbookViewId="0">
      <selection activeCell="A13" sqref="A13"/>
    </sheetView>
  </sheetViews>
  <sheetFormatPr defaultRowHeight="15"/>
  <cols>
    <col min="1" max="1" width="19" customWidth="1"/>
    <col min="2" max="2" width="28.140625" customWidth="1"/>
    <col min="3" max="3" width="30.28515625" customWidth="1"/>
    <col min="4" max="4" width="10.28515625" customWidth="1"/>
    <col min="5" max="5" width="28.140625" customWidth="1"/>
    <col min="6" max="6" width="30.28515625" customWidth="1"/>
    <col min="7" max="7" width="10.28515625" customWidth="1"/>
    <col min="8" max="8" width="28.140625" customWidth="1"/>
    <col min="9" max="9" width="30.28515625" customWidth="1"/>
    <col min="10" max="10" width="10.28515625" customWidth="1"/>
    <col min="11" max="11" width="28.140625" customWidth="1"/>
    <col min="12" max="12" width="30.28515625" customWidth="1"/>
    <col min="13" max="13" width="10.28515625" customWidth="1"/>
    <col min="14" max="14" width="28.140625" customWidth="1"/>
    <col min="15" max="15" width="30.28515625" bestFit="1" customWidth="1"/>
    <col min="16" max="16" width="10.28515625" bestFit="1" customWidth="1"/>
    <col min="17" max="17" width="28.140625" bestFit="1" customWidth="1"/>
    <col min="18" max="18" width="30.28515625" bestFit="1" customWidth="1"/>
    <col min="19" max="19" width="10.28515625" bestFit="1" customWidth="1"/>
    <col min="20" max="20" width="28.140625" bestFit="1" customWidth="1"/>
    <col min="21" max="21" width="30.28515625" bestFit="1" customWidth="1"/>
    <col min="22" max="22" width="10.28515625" bestFit="1" customWidth="1"/>
    <col min="23" max="23" width="28.140625" bestFit="1" customWidth="1"/>
    <col min="24" max="24" width="30.28515625" bestFit="1" customWidth="1"/>
    <col min="25" max="25" width="10.28515625" bestFit="1" customWidth="1"/>
    <col min="26" max="26" width="28.140625" bestFit="1" customWidth="1"/>
    <col min="27" max="27" width="30.28515625" bestFit="1" customWidth="1"/>
    <col min="28" max="28" width="10.28515625" bestFit="1" customWidth="1"/>
    <col min="29" max="29" width="28.140625" bestFit="1" customWidth="1"/>
    <col min="30" max="30" width="30.28515625" bestFit="1" customWidth="1"/>
    <col min="31" max="31" width="10.28515625" bestFit="1" customWidth="1"/>
    <col min="32" max="32" width="28.140625" bestFit="1" customWidth="1"/>
    <col min="33" max="33" width="30.28515625" bestFit="1" customWidth="1"/>
    <col min="34" max="34" width="10.28515625" bestFit="1" customWidth="1"/>
    <col min="35" max="35" width="28.140625" bestFit="1" customWidth="1"/>
    <col min="36" max="36" width="30.28515625" bestFit="1" customWidth="1"/>
    <col min="37" max="37" width="10.28515625" bestFit="1" customWidth="1"/>
    <col min="38" max="38" width="28.140625" bestFit="1" customWidth="1"/>
    <col min="39" max="39" width="30.28515625" bestFit="1" customWidth="1"/>
    <col min="40" max="40" width="10.28515625" bestFit="1" customWidth="1"/>
  </cols>
  <sheetData>
    <row r="1" spans="1:3">
      <c r="A1" s="1" t="s">
        <v>166</v>
      </c>
      <c r="B1" s="1" t="s">
        <v>167</v>
      </c>
    </row>
    <row r="2" spans="1:3">
      <c r="A2" s="1" t="s">
        <v>168</v>
      </c>
      <c r="B2" t="s">
        <v>169</v>
      </c>
      <c r="C2" t="s">
        <v>170</v>
      </c>
    </row>
    <row r="3" spans="1:3">
      <c r="A3">
        <v>2013</v>
      </c>
      <c r="B3" s="15">
        <v>1</v>
      </c>
      <c r="C3" s="15">
        <v>9</v>
      </c>
    </row>
    <row r="4" spans="1:3">
      <c r="A4">
        <v>2014</v>
      </c>
      <c r="B4" s="15">
        <v>1</v>
      </c>
      <c r="C4" s="15">
        <v>11</v>
      </c>
    </row>
    <row r="5" spans="1:3">
      <c r="A5">
        <v>2015</v>
      </c>
      <c r="B5" s="15">
        <v>1</v>
      </c>
      <c r="C5" s="15">
        <v>12</v>
      </c>
    </row>
    <row r="6" spans="1:3">
      <c r="A6">
        <v>2016</v>
      </c>
      <c r="B6" s="15">
        <v>1</v>
      </c>
      <c r="C6" s="15">
        <v>14</v>
      </c>
    </row>
    <row r="7" spans="1:3">
      <c r="A7">
        <v>2017</v>
      </c>
      <c r="B7" s="15">
        <v>2</v>
      </c>
      <c r="C7" s="15">
        <v>16</v>
      </c>
    </row>
    <row r="8" spans="1:3">
      <c r="A8">
        <v>2018</v>
      </c>
      <c r="B8" s="15">
        <v>3</v>
      </c>
      <c r="C8" s="15">
        <v>20</v>
      </c>
    </row>
    <row r="9" spans="1:3">
      <c r="A9">
        <v>2019</v>
      </c>
      <c r="B9" s="15">
        <v>4</v>
      </c>
      <c r="C9" s="15">
        <v>22</v>
      </c>
    </row>
    <row r="10" spans="1:3">
      <c r="A10">
        <v>2020</v>
      </c>
      <c r="B10" s="15">
        <v>3</v>
      </c>
      <c r="C10" s="15">
        <v>30</v>
      </c>
    </row>
    <row r="11" spans="1:3">
      <c r="A11">
        <v>2021</v>
      </c>
      <c r="B11" s="15">
        <v>4</v>
      </c>
      <c r="C11" s="15">
        <v>43</v>
      </c>
    </row>
    <row r="12" spans="1:3">
      <c r="A12">
        <v>2022</v>
      </c>
      <c r="B12" s="15">
        <v>4</v>
      </c>
      <c r="C12" s="15">
        <v>44</v>
      </c>
    </row>
    <row r="13" spans="1:3">
      <c r="A13">
        <v>2023</v>
      </c>
      <c r="B13" s="15">
        <v>4</v>
      </c>
      <c r="C13" s="15">
        <v>44</v>
      </c>
    </row>
    <row r="14" spans="1:3">
      <c r="A14">
        <v>2024</v>
      </c>
      <c r="B14" s="15">
        <v>4</v>
      </c>
      <c r="C14" s="15">
        <v>44</v>
      </c>
    </row>
    <row r="15" spans="1:3">
      <c r="A15">
        <v>2025</v>
      </c>
      <c r="B15" s="15">
        <v>5</v>
      </c>
      <c r="C15" s="15">
        <v>45</v>
      </c>
    </row>
    <row r="16" spans="1:3">
      <c r="A16" t="s">
        <v>6</v>
      </c>
      <c r="B16" s="15">
        <v>37</v>
      </c>
      <c r="C16" s="15">
        <v>354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BA70-A4AC-4862-8AF9-2573E4934EB7}">
  <dimension ref="A1:E16"/>
  <sheetViews>
    <sheetView workbookViewId="0">
      <selection activeCell="D45" sqref="D45"/>
    </sheetView>
  </sheetViews>
  <sheetFormatPr defaultRowHeight="15"/>
  <cols>
    <col min="1" max="1" width="19" customWidth="1"/>
    <col min="2" max="2" width="27.85546875" customWidth="1"/>
    <col min="3" max="3" width="31.28515625" customWidth="1"/>
    <col min="4" max="4" width="31.42578125" customWidth="1"/>
    <col min="5" max="5" width="22.5703125" customWidth="1"/>
    <col min="6" max="6" width="30.28515625" customWidth="1"/>
    <col min="7" max="7" width="10.28515625" customWidth="1"/>
    <col min="8" max="8" width="28.140625" customWidth="1"/>
    <col min="9" max="9" width="30.28515625" customWidth="1"/>
    <col min="10" max="10" width="10.28515625" customWidth="1"/>
    <col min="11" max="11" width="28.140625" customWidth="1"/>
    <col min="12" max="12" width="30.28515625" customWidth="1"/>
    <col min="13" max="13" width="10.28515625" customWidth="1"/>
    <col min="14" max="14" width="28.140625" customWidth="1"/>
    <col min="15" max="15" width="30.28515625" bestFit="1" customWidth="1"/>
    <col min="16" max="16" width="10.28515625" bestFit="1" customWidth="1"/>
    <col min="17" max="17" width="28.140625" bestFit="1" customWidth="1"/>
    <col min="18" max="18" width="30.28515625" bestFit="1" customWidth="1"/>
    <col min="19" max="19" width="10.28515625" bestFit="1" customWidth="1"/>
    <col min="20" max="20" width="28.140625" bestFit="1" customWidth="1"/>
    <col min="21" max="21" width="30.28515625" bestFit="1" customWidth="1"/>
    <col min="22" max="22" width="10.28515625" bestFit="1" customWidth="1"/>
    <col min="23" max="23" width="28.140625" bestFit="1" customWidth="1"/>
    <col min="24" max="24" width="30.28515625" bestFit="1" customWidth="1"/>
    <col min="25" max="25" width="10.28515625" bestFit="1" customWidth="1"/>
    <col min="26" max="26" width="28.140625" bestFit="1" customWidth="1"/>
    <col min="27" max="27" width="30.28515625" bestFit="1" customWidth="1"/>
    <col min="28" max="28" width="10.28515625" bestFit="1" customWidth="1"/>
    <col min="29" max="29" width="28.140625" bestFit="1" customWidth="1"/>
    <col min="30" max="30" width="30.28515625" bestFit="1" customWidth="1"/>
    <col min="31" max="31" width="10.28515625" bestFit="1" customWidth="1"/>
    <col min="32" max="32" width="28.140625" bestFit="1" customWidth="1"/>
    <col min="33" max="33" width="30.28515625" bestFit="1" customWidth="1"/>
    <col min="34" max="34" width="10.28515625" bestFit="1" customWidth="1"/>
    <col min="35" max="35" width="28.140625" bestFit="1" customWidth="1"/>
    <col min="36" max="36" width="30.28515625" bestFit="1" customWidth="1"/>
    <col min="37" max="37" width="10.28515625" bestFit="1" customWidth="1"/>
    <col min="38" max="38" width="28.140625" bestFit="1" customWidth="1"/>
    <col min="39" max="39" width="30.28515625" bestFit="1" customWidth="1"/>
    <col min="40" max="40" width="10.28515625" bestFit="1" customWidth="1"/>
  </cols>
  <sheetData>
    <row r="1" spans="1:5">
      <c r="A1" s="1" t="s">
        <v>166</v>
      </c>
      <c r="B1" s="1" t="s">
        <v>167</v>
      </c>
    </row>
    <row r="2" spans="1:5">
      <c r="A2" s="1" t="s">
        <v>168</v>
      </c>
      <c r="B2" t="s">
        <v>23</v>
      </c>
      <c r="C2" t="s">
        <v>24</v>
      </c>
      <c r="D2" t="s">
        <v>20</v>
      </c>
      <c r="E2" t="s">
        <v>171</v>
      </c>
    </row>
    <row r="3" spans="1:5">
      <c r="A3">
        <v>2013</v>
      </c>
      <c r="B3" s="15">
        <v>11</v>
      </c>
      <c r="C3" s="15">
        <v>19</v>
      </c>
      <c r="D3" s="15">
        <v>110</v>
      </c>
      <c r="E3" s="15">
        <v>73</v>
      </c>
    </row>
    <row r="4" spans="1:5">
      <c r="A4">
        <v>2014</v>
      </c>
      <c r="B4" s="15">
        <v>11</v>
      </c>
      <c r="C4" s="15">
        <v>19</v>
      </c>
      <c r="D4" s="15">
        <v>110</v>
      </c>
      <c r="E4" s="15">
        <v>50</v>
      </c>
    </row>
    <row r="5" spans="1:5">
      <c r="A5">
        <v>2015</v>
      </c>
      <c r="B5" s="15">
        <v>9</v>
      </c>
      <c r="C5" s="15">
        <v>19</v>
      </c>
      <c r="D5" s="15">
        <v>110</v>
      </c>
      <c r="E5" s="15">
        <v>45</v>
      </c>
    </row>
    <row r="6" spans="1:5">
      <c r="A6">
        <v>2016</v>
      </c>
      <c r="B6" s="15">
        <v>9</v>
      </c>
      <c r="C6" s="15">
        <v>18</v>
      </c>
      <c r="D6" s="15">
        <v>110</v>
      </c>
      <c r="E6" s="15">
        <v>45</v>
      </c>
    </row>
    <row r="7" spans="1:5">
      <c r="A7">
        <v>2017</v>
      </c>
      <c r="B7" s="15">
        <v>9</v>
      </c>
      <c r="C7" s="15">
        <v>16</v>
      </c>
      <c r="D7" s="15">
        <v>105</v>
      </c>
      <c r="E7" s="15">
        <v>35</v>
      </c>
    </row>
    <row r="8" spans="1:5">
      <c r="A8">
        <v>2018</v>
      </c>
      <c r="B8" s="15">
        <v>9</v>
      </c>
      <c r="C8" s="15">
        <v>16</v>
      </c>
      <c r="D8" s="15">
        <v>103</v>
      </c>
      <c r="E8" s="15">
        <v>34</v>
      </c>
    </row>
    <row r="9" spans="1:5">
      <c r="A9">
        <v>2019</v>
      </c>
      <c r="B9" s="15">
        <v>8</v>
      </c>
      <c r="C9" s="15">
        <v>16</v>
      </c>
      <c r="D9" s="15">
        <v>102</v>
      </c>
      <c r="E9" s="15">
        <v>34</v>
      </c>
    </row>
    <row r="10" spans="1:5">
      <c r="A10">
        <v>2020</v>
      </c>
      <c r="B10" s="15">
        <v>8</v>
      </c>
      <c r="C10" s="15">
        <v>16</v>
      </c>
      <c r="D10" s="15">
        <v>100</v>
      </c>
      <c r="E10" s="15">
        <v>32</v>
      </c>
    </row>
    <row r="11" spans="1:5">
      <c r="A11">
        <v>2021</v>
      </c>
      <c r="B11" s="15">
        <v>7</v>
      </c>
      <c r="C11" s="15">
        <v>16</v>
      </c>
      <c r="D11" s="15">
        <v>98</v>
      </c>
      <c r="E11" s="15">
        <v>30</v>
      </c>
    </row>
    <row r="12" spans="1:5">
      <c r="A12">
        <v>2022</v>
      </c>
      <c r="B12" s="15">
        <v>7</v>
      </c>
      <c r="C12" s="15">
        <v>14</v>
      </c>
      <c r="D12" s="15">
        <v>97</v>
      </c>
      <c r="E12" s="15">
        <v>30</v>
      </c>
    </row>
    <row r="13" spans="1:5">
      <c r="A13">
        <v>2023</v>
      </c>
      <c r="B13" s="15">
        <v>7</v>
      </c>
      <c r="C13" s="15">
        <v>13</v>
      </c>
      <c r="D13" s="15">
        <v>97</v>
      </c>
      <c r="E13" s="15">
        <v>30</v>
      </c>
    </row>
    <row r="14" spans="1:5">
      <c r="A14">
        <v>2024</v>
      </c>
      <c r="B14" s="15">
        <v>6</v>
      </c>
      <c r="C14" s="15">
        <v>13</v>
      </c>
      <c r="D14" s="15">
        <v>95</v>
      </c>
      <c r="E14" s="15">
        <v>30</v>
      </c>
    </row>
    <row r="15" spans="1:5">
      <c r="A15">
        <v>2025</v>
      </c>
      <c r="B15" s="15">
        <v>6</v>
      </c>
      <c r="C15" s="15">
        <v>13</v>
      </c>
      <c r="D15" s="15">
        <v>95</v>
      </c>
      <c r="E15" s="15">
        <v>28</v>
      </c>
    </row>
    <row r="16" spans="1:5">
      <c r="A16" t="s">
        <v>6</v>
      </c>
      <c r="B16" s="15">
        <v>107</v>
      </c>
      <c r="C16" s="15">
        <v>208</v>
      </c>
      <c r="D16" s="15">
        <v>1332</v>
      </c>
      <c r="E16" s="15">
        <v>496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041E6-F931-4E48-8366-F55CB12BC107}">
  <dimension ref="A1:D79"/>
  <sheetViews>
    <sheetView workbookViewId="0">
      <selection activeCell="C37" sqref="C37"/>
    </sheetView>
  </sheetViews>
  <sheetFormatPr defaultRowHeight="15"/>
  <cols>
    <col min="4" max="4" width="48.7109375" customWidth="1"/>
  </cols>
  <sheetData>
    <row r="1" spans="1:4">
      <c r="A1" s="7" t="s">
        <v>172</v>
      </c>
      <c r="B1" s="8" t="s">
        <v>168</v>
      </c>
      <c r="C1" s="8" t="s">
        <v>173</v>
      </c>
      <c r="D1" s="8" t="s">
        <v>174</v>
      </c>
    </row>
    <row r="2" spans="1:4">
      <c r="A2" s="9">
        <v>2</v>
      </c>
      <c r="B2" s="9">
        <v>2013</v>
      </c>
      <c r="C2" s="9">
        <v>1</v>
      </c>
      <c r="D2" s="9" t="s">
        <v>169</v>
      </c>
    </row>
    <row r="3" spans="1:4">
      <c r="A3" s="9">
        <v>8</v>
      </c>
      <c r="B3" s="9">
        <v>2014</v>
      </c>
      <c r="C3" s="9">
        <v>1</v>
      </c>
      <c r="D3" s="9" t="s">
        <v>169</v>
      </c>
    </row>
    <row r="4" spans="1:4">
      <c r="A4" s="9">
        <v>14</v>
      </c>
      <c r="B4" s="9">
        <v>2015</v>
      </c>
      <c r="C4" s="9">
        <v>1</v>
      </c>
      <c r="D4" s="9" t="s">
        <v>169</v>
      </c>
    </row>
    <row r="5" spans="1:4">
      <c r="A5" s="9">
        <v>20</v>
      </c>
      <c r="B5" s="9">
        <v>2016</v>
      </c>
      <c r="C5" s="9">
        <v>1</v>
      </c>
      <c r="D5" s="9" t="s">
        <v>169</v>
      </c>
    </row>
    <row r="6" spans="1:4">
      <c r="A6" s="9">
        <v>26</v>
      </c>
      <c r="B6" s="9">
        <v>2017</v>
      </c>
      <c r="C6" s="9">
        <v>2</v>
      </c>
      <c r="D6" s="9" t="s">
        <v>169</v>
      </c>
    </row>
    <row r="7" spans="1:4">
      <c r="A7" s="9">
        <v>32</v>
      </c>
      <c r="B7" s="9">
        <v>2018</v>
      </c>
      <c r="C7" s="9">
        <v>3</v>
      </c>
      <c r="D7" s="9" t="s">
        <v>169</v>
      </c>
    </row>
    <row r="8" spans="1:4">
      <c r="A8" s="9">
        <v>38</v>
      </c>
      <c r="B8" s="9">
        <v>2019</v>
      </c>
      <c r="C8" s="9">
        <v>4</v>
      </c>
      <c r="D8" s="9" t="s">
        <v>169</v>
      </c>
    </row>
    <row r="9" spans="1:4">
      <c r="A9" s="9">
        <v>44</v>
      </c>
      <c r="B9" s="9">
        <v>2020</v>
      </c>
      <c r="C9" s="9">
        <v>3</v>
      </c>
      <c r="D9" s="9" t="s">
        <v>169</v>
      </c>
    </row>
    <row r="10" spans="1:4">
      <c r="A10" s="9">
        <v>50</v>
      </c>
      <c r="B10" s="9">
        <v>2021</v>
      </c>
      <c r="C10" s="9">
        <v>4</v>
      </c>
      <c r="D10" s="9" t="s">
        <v>169</v>
      </c>
    </row>
    <row r="11" spans="1:4">
      <c r="A11" s="9">
        <v>56</v>
      </c>
      <c r="B11" s="9">
        <v>2022</v>
      </c>
      <c r="C11" s="9">
        <v>4</v>
      </c>
      <c r="D11" s="9" t="s">
        <v>169</v>
      </c>
    </row>
    <row r="12" spans="1:4">
      <c r="A12" s="9">
        <v>62</v>
      </c>
      <c r="B12" s="9">
        <v>2023</v>
      </c>
      <c r="C12" s="9">
        <v>4</v>
      </c>
      <c r="D12" s="9" t="s">
        <v>169</v>
      </c>
    </row>
    <row r="13" spans="1:4">
      <c r="A13" s="9">
        <v>68</v>
      </c>
      <c r="B13" s="9">
        <v>2024</v>
      </c>
      <c r="C13" s="9">
        <v>4</v>
      </c>
      <c r="D13" s="9" t="s">
        <v>169</v>
      </c>
    </row>
    <row r="14" spans="1:4">
      <c r="A14" s="9">
        <v>74</v>
      </c>
      <c r="B14" s="9">
        <v>2025</v>
      </c>
      <c r="C14" s="9">
        <v>5</v>
      </c>
      <c r="D14" s="9" t="s">
        <v>169</v>
      </c>
    </row>
    <row r="15" spans="1:4">
      <c r="A15" s="9">
        <v>1</v>
      </c>
      <c r="B15" s="9">
        <v>2013</v>
      </c>
      <c r="C15" s="9">
        <v>9</v>
      </c>
      <c r="D15" s="9" t="s">
        <v>170</v>
      </c>
    </row>
    <row r="16" spans="1:4">
      <c r="A16" s="9">
        <v>7</v>
      </c>
      <c r="B16" s="9">
        <v>2014</v>
      </c>
      <c r="C16" s="9">
        <v>11</v>
      </c>
      <c r="D16" s="9" t="s">
        <v>170</v>
      </c>
    </row>
    <row r="17" spans="1:4">
      <c r="A17" s="9">
        <v>13</v>
      </c>
      <c r="B17" s="9">
        <v>2015</v>
      </c>
      <c r="C17" s="9">
        <v>12</v>
      </c>
      <c r="D17" s="9" t="s">
        <v>170</v>
      </c>
    </row>
    <row r="18" spans="1:4">
      <c r="A18" s="9">
        <v>19</v>
      </c>
      <c r="B18" s="9">
        <v>2016</v>
      </c>
      <c r="C18" s="9">
        <v>14</v>
      </c>
      <c r="D18" s="9" t="s">
        <v>170</v>
      </c>
    </row>
    <row r="19" spans="1:4">
      <c r="A19" s="9">
        <v>25</v>
      </c>
      <c r="B19" s="9">
        <v>2017</v>
      </c>
      <c r="C19" s="9">
        <v>16</v>
      </c>
      <c r="D19" s="9" t="s">
        <v>170</v>
      </c>
    </row>
    <row r="20" spans="1:4">
      <c r="A20" s="9">
        <v>31</v>
      </c>
      <c r="B20" s="9">
        <v>2018</v>
      </c>
      <c r="C20" s="9">
        <v>20</v>
      </c>
      <c r="D20" s="9" t="s">
        <v>170</v>
      </c>
    </row>
    <row r="21" spans="1:4">
      <c r="A21" s="9">
        <v>37</v>
      </c>
      <c r="B21" s="9">
        <v>2019</v>
      </c>
      <c r="C21" s="9">
        <v>22</v>
      </c>
      <c r="D21" s="9" t="s">
        <v>170</v>
      </c>
    </row>
    <row r="22" spans="1:4">
      <c r="A22" s="9">
        <v>43</v>
      </c>
      <c r="B22" s="9">
        <v>2020</v>
      </c>
      <c r="C22" s="9">
        <v>30</v>
      </c>
      <c r="D22" s="9" t="s">
        <v>170</v>
      </c>
    </row>
    <row r="23" spans="1:4">
      <c r="A23" s="9">
        <v>49</v>
      </c>
      <c r="B23" s="9">
        <v>2021</v>
      </c>
      <c r="C23" s="9">
        <v>43</v>
      </c>
      <c r="D23" s="9" t="s">
        <v>170</v>
      </c>
    </row>
    <row r="24" spans="1:4">
      <c r="A24" s="9">
        <v>55</v>
      </c>
      <c r="B24" s="9">
        <v>2022</v>
      </c>
      <c r="C24" s="9">
        <v>44</v>
      </c>
      <c r="D24" s="9" t="s">
        <v>170</v>
      </c>
    </row>
    <row r="25" spans="1:4">
      <c r="A25" s="9">
        <v>61</v>
      </c>
      <c r="B25" s="9">
        <v>2023</v>
      </c>
      <c r="C25" s="9">
        <v>44</v>
      </c>
      <c r="D25" s="9" t="s">
        <v>170</v>
      </c>
    </row>
    <row r="26" spans="1:4">
      <c r="A26" s="9">
        <v>67</v>
      </c>
      <c r="B26" s="9">
        <v>2024</v>
      </c>
      <c r="C26" s="9">
        <v>44</v>
      </c>
      <c r="D26" s="9" t="s">
        <v>170</v>
      </c>
    </row>
    <row r="27" spans="1:4">
      <c r="A27" s="9">
        <v>73</v>
      </c>
      <c r="B27" s="9">
        <v>2025</v>
      </c>
      <c r="C27" s="9">
        <v>45</v>
      </c>
      <c r="D27" s="9" t="s">
        <v>170</v>
      </c>
    </row>
    <row r="28" spans="1:4">
      <c r="A28" s="9">
        <v>3</v>
      </c>
      <c r="B28" s="9">
        <v>2013</v>
      </c>
      <c r="C28" s="9">
        <v>11</v>
      </c>
      <c r="D28" s="9" t="s">
        <v>23</v>
      </c>
    </row>
    <row r="29" spans="1:4">
      <c r="A29" s="9">
        <v>9</v>
      </c>
      <c r="B29" s="9">
        <v>2014</v>
      </c>
      <c r="C29" s="9">
        <v>11</v>
      </c>
      <c r="D29" s="9" t="s">
        <v>23</v>
      </c>
    </row>
    <row r="30" spans="1:4">
      <c r="A30" s="9">
        <v>15</v>
      </c>
      <c r="B30" s="9">
        <v>2015</v>
      </c>
      <c r="C30" s="9">
        <v>9</v>
      </c>
      <c r="D30" s="9" t="s">
        <v>23</v>
      </c>
    </row>
    <row r="31" spans="1:4">
      <c r="A31" s="9">
        <v>21</v>
      </c>
      <c r="B31" s="9">
        <v>2016</v>
      </c>
      <c r="C31" s="9">
        <v>9</v>
      </c>
      <c r="D31" s="9" t="s">
        <v>23</v>
      </c>
    </row>
    <row r="32" spans="1:4">
      <c r="A32" s="9">
        <v>27</v>
      </c>
      <c r="B32" s="9">
        <v>2017</v>
      </c>
      <c r="C32" s="9">
        <v>9</v>
      </c>
      <c r="D32" s="9" t="s">
        <v>23</v>
      </c>
    </row>
    <row r="33" spans="1:4">
      <c r="A33" s="9">
        <v>33</v>
      </c>
      <c r="B33" s="9">
        <v>2018</v>
      </c>
      <c r="C33" s="9">
        <v>9</v>
      </c>
      <c r="D33" s="9" t="s">
        <v>23</v>
      </c>
    </row>
    <row r="34" spans="1:4">
      <c r="A34" s="9">
        <v>39</v>
      </c>
      <c r="B34" s="9">
        <v>2019</v>
      </c>
      <c r="C34" s="9">
        <v>8</v>
      </c>
      <c r="D34" s="9" t="s">
        <v>23</v>
      </c>
    </row>
    <row r="35" spans="1:4">
      <c r="A35" s="9">
        <v>45</v>
      </c>
      <c r="B35" s="9">
        <v>2020</v>
      </c>
      <c r="C35" s="9">
        <v>8</v>
      </c>
      <c r="D35" s="9" t="s">
        <v>23</v>
      </c>
    </row>
    <row r="36" spans="1:4">
      <c r="A36" s="9">
        <v>51</v>
      </c>
      <c r="B36" s="9">
        <v>2021</v>
      </c>
      <c r="C36" s="9">
        <v>7</v>
      </c>
      <c r="D36" s="9" t="s">
        <v>23</v>
      </c>
    </row>
    <row r="37" spans="1:4">
      <c r="A37" s="9">
        <v>57</v>
      </c>
      <c r="B37" s="9">
        <v>2022</v>
      </c>
      <c r="C37" s="9">
        <v>7</v>
      </c>
      <c r="D37" s="9" t="s">
        <v>23</v>
      </c>
    </row>
    <row r="38" spans="1:4">
      <c r="A38" s="9">
        <v>63</v>
      </c>
      <c r="B38" s="9">
        <v>2023</v>
      </c>
      <c r="C38" s="9">
        <v>7</v>
      </c>
      <c r="D38" s="9" t="s">
        <v>23</v>
      </c>
    </row>
    <row r="39" spans="1:4">
      <c r="A39" s="9">
        <v>69</v>
      </c>
      <c r="B39" s="9">
        <v>2024</v>
      </c>
      <c r="C39" s="9">
        <v>6</v>
      </c>
      <c r="D39" s="9" t="s">
        <v>23</v>
      </c>
    </row>
    <row r="40" spans="1:4">
      <c r="A40" s="9">
        <v>75</v>
      </c>
      <c r="B40" s="9">
        <v>2025</v>
      </c>
      <c r="C40" s="9">
        <v>6</v>
      </c>
      <c r="D40" s="9" t="s">
        <v>23</v>
      </c>
    </row>
    <row r="41" spans="1:4">
      <c r="A41" s="9">
        <v>4</v>
      </c>
      <c r="B41" s="9">
        <v>2013</v>
      </c>
      <c r="C41" s="9">
        <v>19</v>
      </c>
      <c r="D41" s="9" t="s">
        <v>24</v>
      </c>
    </row>
    <row r="42" spans="1:4">
      <c r="A42" s="9">
        <v>10</v>
      </c>
      <c r="B42" s="9">
        <v>2014</v>
      </c>
      <c r="C42" s="9">
        <v>19</v>
      </c>
      <c r="D42" s="9" t="s">
        <v>24</v>
      </c>
    </row>
    <row r="43" spans="1:4">
      <c r="A43" s="9">
        <v>16</v>
      </c>
      <c r="B43" s="9">
        <v>2015</v>
      </c>
      <c r="C43" s="9">
        <v>19</v>
      </c>
      <c r="D43" s="9" t="s">
        <v>24</v>
      </c>
    </row>
    <row r="44" spans="1:4">
      <c r="A44" s="9">
        <v>22</v>
      </c>
      <c r="B44" s="9">
        <v>2016</v>
      </c>
      <c r="C44" s="9">
        <v>18</v>
      </c>
      <c r="D44" s="9" t="s">
        <v>24</v>
      </c>
    </row>
    <row r="45" spans="1:4">
      <c r="A45" s="9">
        <v>28</v>
      </c>
      <c r="B45" s="9">
        <v>2017</v>
      </c>
      <c r="C45" s="9">
        <v>16</v>
      </c>
      <c r="D45" s="9" t="s">
        <v>24</v>
      </c>
    </row>
    <row r="46" spans="1:4">
      <c r="A46" s="9">
        <v>34</v>
      </c>
      <c r="B46" s="9">
        <v>2018</v>
      </c>
      <c r="C46" s="9">
        <v>16</v>
      </c>
      <c r="D46" s="9" t="s">
        <v>24</v>
      </c>
    </row>
    <row r="47" spans="1:4">
      <c r="A47" s="9">
        <v>40</v>
      </c>
      <c r="B47" s="9">
        <v>2019</v>
      </c>
      <c r="C47" s="9">
        <v>16</v>
      </c>
      <c r="D47" s="9" t="s">
        <v>24</v>
      </c>
    </row>
    <row r="48" spans="1:4">
      <c r="A48" s="9">
        <v>46</v>
      </c>
      <c r="B48" s="9">
        <v>2020</v>
      </c>
      <c r="C48" s="9">
        <v>16</v>
      </c>
      <c r="D48" s="9" t="s">
        <v>24</v>
      </c>
    </row>
    <row r="49" spans="1:4">
      <c r="A49" s="9">
        <v>52</v>
      </c>
      <c r="B49" s="9">
        <v>2021</v>
      </c>
      <c r="C49" s="9">
        <v>16</v>
      </c>
      <c r="D49" s="9" t="s">
        <v>24</v>
      </c>
    </row>
    <row r="50" spans="1:4">
      <c r="A50" s="9">
        <v>58</v>
      </c>
      <c r="B50" s="9">
        <v>2022</v>
      </c>
      <c r="C50" s="9">
        <v>14</v>
      </c>
      <c r="D50" s="9" t="s">
        <v>24</v>
      </c>
    </row>
    <row r="51" spans="1:4">
      <c r="A51" s="9">
        <v>64</v>
      </c>
      <c r="B51" s="9">
        <v>2023</v>
      </c>
      <c r="C51" s="9">
        <v>13</v>
      </c>
      <c r="D51" s="9" t="s">
        <v>24</v>
      </c>
    </row>
    <row r="52" spans="1:4">
      <c r="A52" s="9">
        <v>70</v>
      </c>
      <c r="B52" s="9">
        <v>2024</v>
      </c>
      <c r="C52" s="9">
        <v>13</v>
      </c>
      <c r="D52" s="9" t="s">
        <v>24</v>
      </c>
    </row>
    <row r="53" spans="1:4">
      <c r="A53" s="9">
        <v>76</v>
      </c>
      <c r="B53" s="9">
        <v>2025</v>
      </c>
      <c r="C53" s="9">
        <v>13</v>
      </c>
      <c r="D53" s="9" t="s">
        <v>24</v>
      </c>
    </row>
    <row r="54" spans="1:4">
      <c r="A54" s="9">
        <v>5</v>
      </c>
      <c r="B54" s="9">
        <v>2013</v>
      </c>
      <c r="C54" s="9">
        <v>110</v>
      </c>
      <c r="D54" s="9" t="s">
        <v>20</v>
      </c>
    </row>
    <row r="55" spans="1:4">
      <c r="A55" s="9">
        <v>11</v>
      </c>
      <c r="B55" s="9">
        <v>2014</v>
      </c>
      <c r="C55" s="9">
        <v>110</v>
      </c>
      <c r="D55" s="9" t="s">
        <v>20</v>
      </c>
    </row>
    <row r="56" spans="1:4">
      <c r="A56" s="9">
        <v>17</v>
      </c>
      <c r="B56" s="9">
        <v>2015</v>
      </c>
      <c r="C56" s="9">
        <v>110</v>
      </c>
      <c r="D56" s="9" t="s">
        <v>20</v>
      </c>
    </row>
    <row r="57" spans="1:4">
      <c r="A57" s="9">
        <v>23</v>
      </c>
      <c r="B57" s="9">
        <v>2016</v>
      </c>
      <c r="C57" s="9">
        <v>110</v>
      </c>
      <c r="D57" s="9" t="s">
        <v>20</v>
      </c>
    </row>
    <row r="58" spans="1:4">
      <c r="A58" s="9">
        <v>29</v>
      </c>
      <c r="B58" s="9">
        <v>2017</v>
      </c>
      <c r="C58" s="9">
        <v>105</v>
      </c>
      <c r="D58" s="9" t="s">
        <v>20</v>
      </c>
    </row>
    <row r="59" spans="1:4">
      <c r="A59" s="9">
        <v>35</v>
      </c>
      <c r="B59" s="9">
        <v>2018</v>
      </c>
      <c r="C59" s="9">
        <v>103</v>
      </c>
      <c r="D59" s="9" t="s">
        <v>20</v>
      </c>
    </row>
    <row r="60" spans="1:4">
      <c r="A60" s="9">
        <v>41</v>
      </c>
      <c r="B60" s="9">
        <v>2019</v>
      </c>
      <c r="C60" s="9">
        <v>102</v>
      </c>
      <c r="D60" s="9" t="s">
        <v>20</v>
      </c>
    </row>
    <row r="61" spans="1:4">
      <c r="A61" s="9">
        <v>47</v>
      </c>
      <c r="B61" s="9">
        <v>2020</v>
      </c>
      <c r="C61" s="9">
        <v>100</v>
      </c>
      <c r="D61" s="9" t="s">
        <v>20</v>
      </c>
    </row>
    <row r="62" spans="1:4">
      <c r="A62" s="9">
        <v>53</v>
      </c>
      <c r="B62" s="9">
        <v>2021</v>
      </c>
      <c r="C62" s="9">
        <v>98</v>
      </c>
      <c r="D62" s="9" t="s">
        <v>20</v>
      </c>
    </row>
    <row r="63" spans="1:4">
      <c r="A63" s="9">
        <v>59</v>
      </c>
      <c r="B63" s="9">
        <v>2022</v>
      </c>
      <c r="C63" s="9">
        <v>97</v>
      </c>
      <c r="D63" s="9" t="s">
        <v>20</v>
      </c>
    </row>
    <row r="64" spans="1:4">
      <c r="A64" s="9">
        <v>65</v>
      </c>
      <c r="B64" s="9">
        <v>2023</v>
      </c>
      <c r="C64" s="9">
        <v>97</v>
      </c>
      <c r="D64" s="9" t="s">
        <v>20</v>
      </c>
    </row>
    <row r="65" spans="1:4">
      <c r="A65" s="9">
        <v>71</v>
      </c>
      <c r="B65" s="9">
        <v>2024</v>
      </c>
      <c r="C65" s="9">
        <v>95</v>
      </c>
      <c r="D65" s="9" t="s">
        <v>20</v>
      </c>
    </row>
    <row r="66" spans="1:4">
      <c r="A66" s="9">
        <v>77</v>
      </c>
      <c r="B66" s="9">
        <v>2025</v>
      </c>
      <c r="C66" s="9">
        <v>95</v>
      </c>
      <c r="D66" s="9" t="s">
        <v>20</v>
      </c>
    </row>
    <row r="67" spans="1:4">
      <c r="A67" s="9">
        <v>6</v>
      </c>
      <c r="B67" s="9">
        <v>2013</v>
      </c>
      <c r="C67" s="9">
        <v>73</v>
      </c>
      <c r="D67" s="9" t="s">
        <v>171</v>
      </c>
    </row>
    <row r="68" spans="1:4">
      <c r="A68" s="9">
        <v>12</v>
      </c>
      <c r="B68" s="9">
        <v>2014</v>
      </c>
      <c r="C68" s="9">
        <v>50</v>
      </c>
      <c r="D68" s="9" t="s">
        <v>171</v>
      </c>
    </row>
    <row r="69" spans="1:4">
      <c r="A69" s="9">
        <v>18</v>
      </c>
      <c r="B69" s="9">
        <v>2015</v>
      </c>
      <c r="C69" s="9">
        <v>45</v>
      </c>
      <c r="D69" s="9" t="s">
        <v>171</v>
      </c>
    </row>
    <row r="70" spans="1:4">
      <c r="A70" s="9">
        <v>24</v>
      </c>
      <c r="B70" s="9">
        <v>2016</v>
      </c>
      <c r="C70" s="9">
        <v>45</v>
      </c>
      <c r="D70" s="9" t="s">
        <v>171</v>
      </c>
    </row>
    <row r="71" spans="1:4">
      <c r="A71" s="9">
        <v>30</v>
      </c>
      <c r="B71" s="9">
        <v>2017</v>
      </c>
      <c r="C71" s="9">
        <v>35</v>
      </c>
      <c r="D71" s="9" t="s">
        <v>171</v>
      </c>
    </row>
    <row r="72" spans="1:4">
      <c r="A72" s="9">
        <v>36</v>
      </c>
      <c r="B72" s="9">
        <v>2018</v>
      </c>
      <c r="C72" s="9">
        <v>34</v>
      </c>
      <c r="D72" s="9" t="s">
        <v>171</v>
      </c>
    </row>
    <row r="73" spans="1:4">
      <c r="A73" s="9">
        <v>42</v>
      </c>
      <c r="B73" s="9">
        <v>2019</v>
      </c>
      <c r="C73" s="9">
        <v>34</v>
      </c>
      <c r="D73" s="9" t="s">
        <v>171</v>
      </c>
    </row>
    <row r="74" spans="1:4">
      <c r="A74" s="9">
        <v>48</v>
      </c>
      <c r="B74" s="9">
        <v>2020</v>
      </c>
      <c r="C74" s="9">
        <v>32</v>
      </c>
      <c r="D74" s="9" t="s">
        <v>171</v>
      </c>
    </row>
    <row r="75" spans="1:4">
      <c r="A75" s="9">
        <v>54</v>
      </c>
      <c r="B75" s="9">
        <v>2021</v>
      </c>
      <c r="C75" s="9">
        <v>30</v>
      </c>
      <c r="D75" s="9" t="s">
        <v>171</v>
      </c>
    </row>
    <row r="76" spans="1:4">
      <c r="A76" s="9">
        <v>60</v>
      </c>
      <c r="B76" s="9">
        <v>2022</v>
      </c>
      <c r="C76" s="9">
        <v>30</v>
      </c>
      <c r="D76" s="9" t="s">
        <v>171</v>
      </c>
    </row>
    <row r="77" spans="1:4">
      <c r="A77" s="9">
        <v>66</v>
      </c>
      <c r="B77" s="9">
        <v>2023</v>
      </c>
      <c r="C77" s="9">
        <v>30</v>
      </c>
      <c r="D77" s="9" t="s">
        <v>171</v>
      </c>
    </row>
    <row r="78" spans="1:4">
      <c r="A78" s="9">
        <v>72</v>
      </c>
      <c r="B78" s="9">
        <v>2024</v>
      </c>
      <c r="C78" s="9">
        <v>30</v>
      </c>
      <c r="D78" s="9" t="s">
        <v>171</v>
      </c>
    </row>
    <row r="79" spans="1:4">
      <c r="A79" s="9">
        <v>78</v>
      </c>
      <c r="B79" s="9">
        <v>2025</v>
      </c>
      <c r="C79" s="9">
        <v>28</v>
      </c>
      <c r="D79" s="9" t="s">
        <v>171</v>
      </c>
    </row>
  </sheetData>
  <sortState xmlns:xlrd2="http://schemas.microsoft.com/office/spreadsheetml/2017/richdata2" ref="A2:D79">
    <sortCondition ref="D2:D79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49D1-4FA7-4CED-822A-D3ABA826A1DB}">
  <dimension ref="A1:B2"/>
  <sheetViews>
    <sheetView workbookViewId="0">
      <selection activeCell="K3" sqref="K3"/>
    </sheetView>
  </sheetViews>
  <sheetFormatPr defaultRowHeight="15"/>
  <cols>
    <col min="1" max="1" width="11" bestFit="1" customWidth="1"/>
    <col min="2" max="2" width="15.7109375" customWidth="1"/>
  </cols>
  <sheetData>
    <row r="1" spans="1:2">
      <c r="A1" t="s">
        <v>175</v>
      </c>
      <c r="B1" t="s">
        <v>176</v>
      </c>
    </row>
    <row r="2" spans="1:2">
      <c r="A2" s="5">
        <v>46044</v>
      </c>
      <c r="B2" s="5">
        <v>45679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Müller Uli (I-VU-OCT-TEM-FAIT - Extern)</dc:creator>
  <cp:keywords/>
  <dc:description/>
  <cp:lastModifiedBy/>
  <cp:revision/>
  <dcterms:created xsi:type="dcterms:W3CDTF">2025-11-03T06:31:23Z</dcterms:created>
  <dcterms:modified xsi:type="dcterms:W3CDTF">2026-02-24T09:59:24Z</dcterms:modified>
  <cp:category/>
  <cp:contentStatus/>
</cp:coreProperties>
</file>